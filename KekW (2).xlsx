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комп\Downloads\"/>
    </mc:Choice>
  </mc:AlternateContent>
  <bookViews>
    <workbookView xWindow="0" yWindow="0" windowWidth="17256" windowHeight="5196"/>
  </bookViews>
  <sheets>
    <sheet name="1" sheetId="1" r:id="rId1"/>
    <sheet name="2" sheetId="2" r:id="rId2"/>
    <sheet name="3" sheetId="3" r:id="rId3"/>
    <sheet name="4" sheetId="4" r:id="rId4"/>
    <sheet name="Лист1" sheetId="5" r:id="rId5"/>
  </sheets>
  <calcPr calcId="162913"/>
</workbook>
</file>

<file path=xl/calcChain.xml><?xml version="1.0" encoding="utf-8"?>
<calcChain xmlns="http://schemas.openxmlformats.org/spreadsheetml/2006/main">
  <c r="F52" i="1" l="1"/>
  <c r="E52" i="1"/>
  <c r="D52" i="1"/>
  <c r="C52" i="1"/>
  <c r="B52" i="1"/>
  <c r="A52" i="1"/>
  <c r="C37" i="1"/>
  <c r="B37" i="1"/>
  <c r="A37" i="1"/>
  <c r="B21" i="1"/>
  <c r="C37" i="3"/>
  <c r="B37" i="3"/>
  <c r="A37" i="3"/>
  <c r="C36" i="3"/>
  <c r="B36" i="3"/>
  <c r="A36" i="3"/>
  <c r="C31" i="3"/>
  <c r="B31" i="3"/>
  <c r="A31" i="3"/>
  <c r="C30" i="3"/>
  <c r="B30" i="3"/>
  <c r="A30" i="3"/>
  <c r="A29" i="3"/>
  <c r="A28" i="3"/>
  <c r="E23" i="3"/>
  <c r="D23" i="3"/>
  <c r="F23" i="3" s="1"/>
  <c r="C23" i="3"/>
  <c r="B23" i="3"/>
  <c r="A23" i="3"/>
  <c r="E22" i="3"/>
  <c r="D22" i="3"/>
  <c r="F22" i="3" s="1"/>
  <c r="C22" i="3"/>
  <c r="B22" i="3"/>
  <c r="A22" i="3"/>
  <c r="E21" i="3"/>
  <c r="D21" i="3"/>
  <c r="F21" i="3" s="1"/>
  <c r="C21" i="3"/>
  <c r="B21" i="3"/>
  <c r="A21" i="3"/>
  <c r="E20" i="3"/>
  <c r="D20" i="3"/>
  <c r="F20" i="3" s="1"/>
  <c r="C20" i="3"/>
  <c r="B20" i="3"/>
  <c r="A20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6" i="3"/>
  <c r="C29" i="3" s="1"/>
  <c r="D6" i="3"/>
  <c r="C6" i="3"/>
  <c r="B29" i="3" s="1"/>
  <c r="B6" i="3"/>
  <c r="A21" i="2"/>
  <c r="C12" i="2"/>
  <c r="C13" i="2" s="1"/>
  <c r="C11" i="2"/>
  <c r="C10" i="2"/>
  <c r="C14" i="2" s="1"/>
  <c r="C15" i="2" s="1"/>
  <c r="C61" i="1"/>
  <c r="A51" i="1"/>
  <c r="A50" i="1"/>
  <c r="A49" i="1"/>
  <c r="A48" i="1"/>
  <c r="E48" i="1" s="1"/>
  <c r="A47" i="1"/>
  <c r="A46" i="1"/>
  <c r="E46" i="1" s="1"/>
  <c r="A45" i="1"/>
  <c r="A44" i="1"/>
  <c r="A43" i="1"/>
  <c r="A36" i="1"/>
  <c r="A35" i="1"/>
  <c r="A34" i="1"/>
  <c r="A33" i="1"/>
  <c r="A32" i="1"/>
  <c r="A31" i="1"/>
  <c r="A30" i="1"/>
  <c r="A29" i="1"/>
  <c r="A28" i="1"/>
  <c r="B20" i="1"/>
  <c r="B36" i="1" s="1"/>
  <c r="B19" i="1"/>
  <c r="B35" i="1" s="1"/>
  <c r="B18" i="1"/>
  <c r="B34" i="1" s="1"/>
  <c r="B17" i="1"/>
  <c r="B48" i="1" s="1"/>
  <c r="B16" i="1"/>
  <c r="B47" i="1" s="1"/>
  <c r="D47" i="1" s="1"/>
  <c r="B15" i="1"/>
  <c r="B46" i="1" s="1"/>
  <c r="B14" i="1"/>
  <c r="B30" i="1" s="1"/>
  <c r="B13" i="1"/>
  <c r="B44" i="1" s="1"/>
  <c r="B12" i="1"/>
  <c r="B28" i="1" s="1"/>
  <c r="E47" i="1" l="1"/>
  <c r="B33" i="1"/>
  <c r="B51" i="1"/>
  <c r="D51" i="1" s="1"/>
  <c r="B29" i="1"/>
  <c r="B49" i="1"/>
  <c r="D49" i="1" s="1"/>
  <c r="B43" i="1"/>
  <c r="D43" i="1" s="1"/>
  <c r="C16" i="2"/>
  <c r="D48" i="1"/>
  <c r="C48" i="1"/>
  <c r="D44" i="1"/>
  <c r="C44" i="1"/>
  <c r="D46" i="1"/>
  <c r="C46" i="1"/>
  <c r="E44" i="1"/>
  <c r="B31" i="1"/>
  <c r="B28" i="3"/>
  <c r="C43" i="1"/>
  <c r="C47" i="1"/>
  <c r="B22" i="1"/>
  <c r="B50" i="1"/>
  <c r="C28" i="3"/>
  <c r="B21" i="2"/>
  <c r="A22" i="2" s="1"/>
  <c r="B45" i="1"/>
  <c r="D45" i="1" s="1"/>
  <c r="B32" i="1"/>
  <c r="E45" i="1" l="1"/>
  <c r="C51" i="1"/>
  <c r="E51" i="1"/>
  <c r="C60" i="1" a="1"/>
  <c r="C60" i="1" s="1"/>
  <c r="F43" i="1"/>
  <c r="F44" i="1" s="1"/>
  <c r="F45" i="1" s="1"/>
  <c r="F46" i="1" s="1"/>
  <c r="F47" i="1" s="1"/>
  <c r="F48" i="1" s="1"/>
  <c r="F49" i="1" s="1"/>
  <c r="F50" i="1" s="1"/>
  <c r="F51" i="1" s="1"/>
  <c r="E43" i="1"/>
  <c r="C49" i="1"/>
  <c r="E49" i="1"/>
  <c r="B22" i="2"/>
  <c r="A23" i="2" s="1"/>
  <c r="D50" i="1"/>
  <c r="D53" i="1" s="1"/>
  <c r="C50" i="1"/>
  <c r="E50" i="1"/>
  <c r="E53" i="1" s="1"/>
  <c r="C59" i="1" s="1"/>
  <c r="D21" i="2"/>
  <c r="B38" i="1"/>
  <c r="C32" i="1" s="1"/>
  <c r="C21" i="2"/>
  <c r="C45" i="1"/>
  <c r="E21" i="2"/>
  <c r="B53" i="1"/>
  <c r="C31" i="1" l="1"/>
  <c r="C53" i="1"/>
  <c r="C57" i="1" s="1"/>
  <c r="B33" i="2"/>
  <c r="F21" i="2"/>
  <c r="B62" i="2"/>
  <c r="B23" i="2"/>
  <c r="A24" i="2" s="1"/>
  <c r="C23" i="2"/>
  <c r="E23" i="2"/>
  <c r="C22" i="2"/>
  <c r="C58" i="1"/>
  <c r="C33" i="2"/>
  <c r="C62" i="2"/>
  <c r="D22" i="2"/>
  <c r="E22" i="2"/>
  <c r="A62" i="2"/>
  <c r="A33" i="2"/>
  <c r="C36" i="1"/>
  <c r="C35" i="1"/>
  <c r="C33" i="1"/>
  <c r="C28" i="1"/>
  <c r="C30" i="1"/>
  <c r="C34" i="1"/>
  <c r="C29" i="1"/>
  <c r="A35" i="2" l="1"/>
  <c r="A64" i="2"/>
  <c r="A34" i="2"/>
  <c r="A63" i="2"/>
  <c r="C34" i="2"/>
  <c r="C63" i="2"/>
  <c r="C38" i="1"/>
  <c r="C64" i="2"/>
  <c r="C35" i="2"/>
  <c r="E24" i="2"/>
  <c r="D24" i="2"/>
  <c r="B24" i="2"/>
  <c r="A25" i="2" s="1"/>
  <c r="D23" i="2"/>
  <c r="F22" i="2"/>
  <c r="B34" i="2"/>
  <c r="D34" i="2" s="1"/>
  <c r="B63" i="2"/>
  <c r="D33" i="2"/>
  <c r="B64" i="2" l="1"/>
  <c r="B35" i="2"/>
  <c r="B65" i="2"/>
  <c r="B36" i="2"/>
  <c r="C65" i="2"/>
  <c r="C36" i="2"/>
  <c r="F23" i="2"/>
  <c r="F24" i="2" s="1"/>
  <c r="B25" i="2"/>
  <c r="A26" i="2" s="1"/>
  <c r="E25" i="2"/>
  <c r="C24" i="2"/>
  <c r="A36" i="2" l="1"/>
  <c r="A65" i="2"/>
  <c r="C66" i="2"/>
  <c r="C37" i="2"/>
  <c r="D36" i="2"/>
  <c r="D35" i="2"/>
  <c r="E26" i="2"/>
  <c r="D26" i="2"/>
  <c r="C26" i="2"/>
  <c r="B26" i="2"/>
  <c r="A27" i="2" s="1"/>
  <c r="C25" i="2"/>
  <c r="D25" i="2"/>
  <c r="B67" i="2" l="1"/>
  <c r="B38" i="2"/>
  <c r="B37" i="2"/>
  <c r="B66" i="2"/>
  <c r="A37" i="2"/>
  <c r="A66" i="2"/>
  <c r="B27" i="2"/>
  <c r="D27" i="2" s="1"/>
  <c r="F25" i="2"/>
  <c r="F26" i="2" s="1"/>
  <c r="C67" i="2"/>
  <c r="C38" i="2"/>
  <c r="A67" i="2"/>
  <c r="A38" i="2"/>
  <c r="B39" i="2" l="1"/>
  <c r="B68" i="2"/>
  <c r="B69" i="2" s="1"/>
  <c r="C45" i="2"/>
  <c r="D28" i="2"/>
  <c r="C27" i="2"/>
  <c r="D38" i="2"/>
  <c r="D37" i="2"/>
  <c r="B40" i="2"/>
  <c r="F27" i="2"/>
  <c r="E27" i="2"/>
  <c r="B57" i="2" l="1"/>
  <c r="C57" i="2" s="1"/>
  <c r="B55" i="2"/>
  <c r="C55" i="2" s="1"/>
  <c r="B56" i="2"/>
  <c r="C56" i="2" s="1"/>
  <c r="A68" i="2"/>
  <c r="A39" i="2"/>
  <c r="C39" i="2"/>
  <c r="D39" i="2" s="1"/>
  <c r="D40" i="2" s="1"/>
  <c r="C44" i="2" s="1"/>
  <c r="C68" i="2"/>
  <c r="C49" i="2" a="1"/>
  <c r="C49" i="2" s="1"/>
  <c r="C47" i="2" a="1"/>
  <c r="C47" i="2" s="1"/>
  <c r="C48" i="2" a="1"/>
  <c r="C48" i="2" s="1"/>
  <c r="C46" i="2" a="1"/>
  <c r="C46" i="2" s="1"/>
  <c r="C50" i="2" s="1"/>
  <c r="D62" i="2" l="1"/>
  <c r="E62" i="2" s="1"/>
  <c r="F62" i="2" s="1"/>
  <c r="D64" i="2"/>
  <c r="E64" i="2" s="1"/>
  <c r="F64" i="2" s="1"/>
  <c r="D63" i="2"/>
  <c r="E63" i="2" s="1"/>
  <c r="F63" i="2" s="1"/>
  <c r="D65" i="2"/>
  <c r="E65" i="2" s="1"/>
  <c r="F65" i="2" s="1"/>
  <c r="D66" i="2"/>
  <c r="E66" i="2" s="1"/>
  <c r="F66" i="2" s="1"/>
  <c r="D67" i="2"/>
  <c r="E67" i="2" s="1"/>
  <c r="F67" i="2" s="1"/>
  <c r="D68" i="2"/>
  <c r="E68" i="2" s="1"/>
  <c r="F68" i="2" s="1"/>
  <c r="F56" i="2"/>
  <c r="E56" i="2"/>
  <c r="D56" i="2"/>
  <c r="D55" i="2"/>
  <c r="E55" i="2"/>
  <c r="F55" i="2"/>
  <c r="D57" i="2"/>
  <c r="E57" i="2"/>
  <c r="F57" i="2"/>
  <c r="G55" i="2" l="1"/>
  <c r="G56" i="2"/>
  <c r="G57" i="2"/>
  <c r="F69" i="2"/>
  <c r="C73" i="2" s="1"/>
  <c r="C74" i="2" s="1"/>
  <c r="C75" i="2" s="1"/>
  <c r="C76" i="2" s="1"/>
</calcChain>
</file>

<file path=xl/sharedStrings.xml><?xml version="1.0" encoding="utf-8"?>
<sst xmlns="http://schemas.openxmlformats.org/spreadsheetml/2006/main" count="290" uniqueCount="182">
  <si>
    <t>Задание I (ряд по вариантам)</t>
  </si>
  <si>
    <t>1.1. Группировка</t>
  </si>
  <si>
    <t>f = сколько раз встречается каждое значение x</t>
  </si>
  <si>
    <t>Σf = n</t>
  </si>
  <si>
    <t>1.3. Структура</t>
  </si>
  <si>
    <t>Доля = f / Σf · 100%</t>
  </si>
  <si>
    <t>1.4. Средние, мода, медиана</t>
  </si>
  <si>
    <t>Средняя арифметическая: x̄ = Σxf / Σf</t>
  </si>
  <si>
    <t>Средняя гармоническая: x̄гарм = Σf / Σ(f/x)</t>
  </si>
  <si>
    <t>Средняя квадратическая: x̄кв = √(Σx²f / Σf)</t>
  </si>
  <si>
    <t>Проверка: x̄гарм ≤ x̄ ≤ x̄кв</t>
  </si>
  <si>
    <t>Мода: Mo = x с наибольшей частотой f</t>
  </si>
  <si>
    <t>Накопленная частота: S = S пред. + f</t>
  </si>
  <si>
    <t>Номер медианы: n чётное → n/2 и n/2 + 1; n нечётное → (n + 1)/2</t>
  </si>
  <si>
    <t>Медиана: x, у которого S впервые ≥ номера медианы</t>
  </si>
  <si>
    <t>Задание II (интервальный ряд)</t>
  </si>
  <si>
    <t>2.1. Группировка по интервалам</t>
  </si>
  <si>
    <t>Размах: R = xmax − xmin</t>
  </si>
  <si>
    <t>Число интервалов (Стерджесс): k = 1 + 3,322 · lg n</t>
  </si>
  <si>
    <t>Шаг интервала: h = R / k</t>
  </si>
  <si>
    <t>Конец интервала = начало + h</t>
  </si>
  <si>
    <t>Середина интервала: x' = (начало + конец) / 2</t>
  </si>
  <si>
    <t>S = S пред. + f</t>
  </si>
  <si>
    <t>2.3. Средняя, мода, медиана, квартили</t>
  </si>
  <si>
    <t>Средняя арифметическая: x̄ = Σx'f / Σf</t>
  </si>
  <si>
    <t>Мода: Mo = x₀ + h · (fMo − fпред) / ((fMo − fпред) + (fMo − fслед))</t>
  </si>
  <si>
    <t>Медиана: Me = x₀ + h · (n/2 − Sпред) / fMe</t>
  </si>
  <si>
    <t>Первый квартиль: Q1 = x₀ + h · (n/4 − Sпред) / fQ1</t>
  </si>
  <si>
    <t>Третий квартиль: Q3 = x₀ + h · (3n/4 − Sпред) / fQ3</t>
  </si>
  <si>
    <t>(x₀ — начало нужного интервала, Sпред — накопленная частота до него, f — его частота)</t>
  </si>
  <si>
    <t>2.4. Показатели вариации</t>
  </si>
  <si>
    <t>Дисперсия: σ² = Σ(x' − x̄)² · f / Σf</t>
  </si>
  <si>
    <t>Среднее квадратическое отклонение: σ = √σ²</t>
  </si>
  <si>
    <t>Коэффициент вариации: V = σ / x̄ · 100%</t>
  </si>
  <si>
    <t>V ≤ 33% → совокупность однородная; V &gt; 33% → неоднородная</t>
  </si>
  <si>
    <t>Задание III (абсолютные и относительные величины)</t>
  </si>
  <si>
    <t>3.1. Абсолютные величины</t>
  </si>
  <si>
    <t>Отклонение от плана = факт − план</t>
  </si>
  <si>
    <t>Абсолютный прирост = факт буд. − факт тек.</t>
  </si>
  <si>
    <t>Плановый прирост = план буд. − факт тек.</t>
  </si>
  <si>
    <t>3.2. Относительные величины</t>
  </si>
  <si>
    <t>Выполнение плана: ОВВП = факт / план · 100%</t>
  </si>
  <si>
    <t>Плановое задание: ОВПЗ = план буд. / факт тек. · 100%</t>
  </si>
  <si>
    <t>Динамика: ОВД = факт буд. / факт тек. · 100%</t>
  </si>
  <si>
    <t>Связь: ОВД = ОВПЗ · ОВВП</t>
  </si>
  <si>
    <t>Структура: доля = часть / итого · 100%</t>
  </si>
  <si>
    <t>Координация = одна часть / другая часть (во сколько раз больше)</t>
  </si>
  <si>
    <t>Исходные данные (70 записей)</t>
  </si>
  <si>
    <t>Исходные данные: стоимость основных фондов (тыс. лей), 50 предприятий</t>
  </si>
  <si>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</si>
  <si>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</si>
  <si>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</si>
  <si>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</si>
  <si>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</si>
  <si>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</si>
  <si>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</si>
  <si>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</si>
  <si>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</si>
  <si>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</si>
  <si>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</si>
  <si>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</si>
  <si>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</si>
  <si>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</si>
  <si>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2.1. Группировка по интервалам: расчёт параметров</t>
  </si>
  <si>
    <t>Показатель</t>
  </si>
  <si>
    <t>Формула</t>
  </si>
  <si>
    <t>Значение</t>
  </si>
  <si>
    <t>n (число данных)</t>
  </si>
  <si>
    <t>n = количество значений</t>
  </si>
  <si>
    <t>Исходные данные (тыс. т)</t>
  </si>
  <si>
    <t>min</t>
  </si>
  <si>
    <t>1.1. Группировка данных по вариантам</t>
  </si>
  <si>
    <t>Разряд</t>
  </si>
  <si>
    <t>Частота</t>
  </si>
  <si>
    <t>x</t>
  </si>
  <si>
    <t>f</t>
  </si>
  <si>
    <t>Итого</t>
  </si>
  <si>
    <t>1.3. Структурное распределение рабочих по разрядам</t>
  </si>
  <si>
    <t>Формула: Доля = f / Σf · 100%</t>
  </si>
  <si>
    <t>Доля, %</t>
  </si>
  <si>
    <t>наименьшее значение</t>
  </si>
  <si>
    <t>max</t>
  </si>
  <si>
    <t>Формулы столбцов: x·f;  f/x;  x²·f;  S = S предыдущая + f</t>
  </si>
  <si>
    <t>наибольшее значение</t>
  </si>
  <si>
    <t>1.4. Средние величины, мода, медиана</t>
  </si>
  <si>
    <t>R (размах)</t>
  </si>
  <si>
    <t>R = max − min</t>
  </si>
  <si>
    <t>Продукция</t>
  </si>
  <si>
    <t>План тек.</t>
  </si>
  <si>
    <t>Факт тек.</t>
  </si>
  <si>
    <t>k (по Стерджессу)</t>
  </si>
  <si>
    <t>План буд.</t>
  </si>
  <si>
    <t>k = 1 + 3,322·lg n</t>
  </si>
  <si>
    <t>Факт буд.</t>
  </si>
  <si>
    <t>k (округлённое)</t>
  </si>
  <si>
    <t>Овощи</t>
  </si>
  <si>
    <t>x·f</t>
  </si>
  <si>
    <t>округляем до целого</t>
  </si>
  <si>
    <t>f/x</t>
  </si>
  <si>
    <t>x²·f</t>
  </si>
  <si>
    <t>S (накоп.)</t>
  </si>
  <si>
    <t>h (шаг интервала)</t>
  </si>
  <si>
    <t>Фрукты</t>
  </si>
  <si>
    <t>h = R / k, округляем вверх</t>
  </si>
  <si>
    <t>Виноград</t>
  </si>
  <si>
    <t>Формулы: конец = начало + h;  f = сколько значений ≥ начала и &lt; конца (COUNTIFS);  x' = (начало + конец) / 2;  S = S пред. + f</t>
  </si>
  <si>
    <t>Интервальный ряд</t>
  </si>
  <si>
    <t>Начало</t>
  </si>
  <si>
    <t>Конец</t>
  </si>
  <si>
    <t>Интервал</t>
  </si>
  <si>
    <t>Середина x'</t>
  </si>
  <si>
    <t>3.1. Абсолютные величины (тыс. т)</t>
  </si>
  <si>
    <t>Формулы: отклонение от плана = факт − план;  абсолютный прирост = факт буд. − факт тек.;  плановый прирост = план буд. − факт тек.</t>
  </si>
  <si>
    <t>Откл. от плана (тек.)</t>
  </si>
  <si>
    <t>Откл. от плана (буд.)</t>
  </si>
  <si>
    <t>Абсолютный прирост</t>
  </si>
  <si>
    <t>Плановый прирост</t>
  </si>
  <si>
    <t>Результаты</t>
  </si>
  <si>
    <t>Формулы: ОВВП = факт / план · 100%;  ОВПЗ = план буд. / факт тек. · 100%;  ОВД = факт буд. / факт тек. · 100%</t>
  </si>
  <si>
    <t>Средняя арифметическая</t>
  </si>
  <si>
    <t>x̄ = Σxf / Σf</t>
  </si>
  <si>
    <t>Выполнение плана (ОВВП), плановое задание (ОВПЗ), динамика (ОВД)</t>
  </si>
  <si>
    <t>Средняя гармоническая</t>
  </si>
  <si>
    <t>x̄гарм = Σf / Σ(f/x)</t>
  </si>
  <si>
    <t>ОВВП тек., %</t>
  </si>
  <si>
    <t>ОВВП буд., %</t>
  </si>
  <si>
    <t>ОВПЗ, %</t>
  </si>
  <si>
    <t>2.3. Средняя арифметическая, мода, медиана, квартили</t>
  </si>
  <si>
    <t>ОВД, %</t>
  </si>
  <si>
    <t>Средняя квадратическая</t>
  </si>
  <si>
    <t>Проверка: ОВПЗ · ОВВП буд. / 100</t>
  </si>
  <si>
    <t>x̄кв = √(Σx²f / Σf)</t>
  </si>
  <si>
    <t>Вспомогательный расчёт: x'·f (середина интервала × частота)</t>
  </si>
  <si>
    <t>Мода</t>
  </si>
  <si>
    <t>Mo = x с наибольшей частотой f</t>
  </si>
  <si>
    <t>x'</t>
  </si>
  <si>
    <t>x'·f</t>
  </si>
  <si>
    <t>Медиана</t>
  </si>
  <si>
    <t>Me = середина ряда (35-й и 36-й элементы)</t>
  </si>
  <si>
    <t>Относительные величины структуры (доля в общем факте)</t>
  </si>
  <si>
    <t>Формула: доля = факт продукции / факт итого · 100%</t>
  </si>
  <si>
    <t>Доля тек., %</t>
  </si>
  <si>
    <t>Доля буд., %</t>
  </si>
  <si>
    <t>Относительные величины координации (во сколько раз больше, чем овощей)</t>
  </si>
  <si>
    <t>Средняя и мода</t>
  </si>
  <si>
    <t>Формула: координация = факт продукции / факт овощей</t>
  </si>
  <si>
    <t>Тек.</t>
  </si>
  <si>
    <t>Буд.</t>
  </si>
  <si>
    <t>x̄ = Σx'f / Σf</t>
  </si>
  <si>
    <t>№ модального интервала</t>
  </si>
  <si>
    <t>интервал с наибольшей f</t>
  </si>
  <si>
    <t>x₀</t>
  </si>
  <si>
    <t>начало модального интервала</t>
  </si>
  <si>
    <t>3.3. Выводы
1. В целом план выполняется: в текущем периоде на 104,91% (перевыполнение на 5,4 тыс. т), в будущем на 101,66% (на 2,2 тыс. т).
2. Овощи единственная продукция, где план не выполнен в обоих периодах (90% и 97,56%), но отставание сокращается с 2 до 0,7 тыс. т.
3. Фрукты и виноград перевыполняют план в обоих периодах; лучший результат у винограда в текущем периоде (110,8%).
4. Общее производство выросло на 16,9% (на 19,5 тыс. т). Быстрее всего растут овощи (+55,56%), медленнее всего виноград (+4,51%).
5. Для овощей было запланировано самое большое увеличение (ОВПЗ 159,44%), поэтому даже при недовыполнении плана их производство выросло сильнее всех.
6. Структура меняется: доля овощей растёт (15,6% → 20,76%), доля винограда падает (48,01% → 42,92%), доля фруктов почти не меняется (около 36%). Виноград остаётся основной продукцией.</t>
  </si>
  <si>
    <t>fMo</t>
  </si>
  <si>
    <t>частота модального интервала</t>
  </si>
  <si>
    <t>f пред.</t>
  </si>
  <si>
    <t>частота предыдущего интервала</t>
  </si>
  <si>
    <t>f след.</t>
  </si>
  <si>
    <t>частота следующего интервала</t>
  </si>
  <si>
    <t>Mo = x₀ + h·(fMo − fпред) / ((fMo − fпред) + (fMo − fслед))</t>
  </si>
  <si>
    <t>Формула: Q = x₀ + h · (позиция − S пред.) / f;   позиция: Q1 = n/4,  Me = n/2,  Q3 = 3n/4</t>
  </si>
  <si>
    <t>Медиана и квартили</t>
  </si>
  <si>
    <t>Позиция</t>
  </si>
  <si>
    <t>№ интервала</t>
  </si>
  <si>
    <t>S пред.</t>
  </si>
  <si>
    <t>Q1</t>
  </si>
  <si>
    <t>Me (Q2)</t>
  </si>
  <si>
    <t>Q3</t>
  </si>
  <si>
    <t>2.4. Показатели вариации: дисперсия, среднее квадратическое отклонение, коэффициент вариации</t>
  </si>
  <si>
    <t>Вспомогательный расчёт: отклонение каждой середины от средней, его квадрат, умноженный на частоту</t>
  </si>
  <si>
    <t>x' − x̄</t>
  </si>
  <si>
    <t>(x' − x̄)²</t>
  </si>
  <si>
    <t>(x' − x̄)²·f</t>
  </si>
  <si>
    <t>Дисперсия</t>
  </si>
  <si>
    <t>σ² = Σ(x' − x̄)²·f / Σf</t>
  </si>
  <si>
    <t>Среднее квадратическое отклонение</t>
  </si>
  <si>
    <t>σ = √σ²</t>
  </si>
  <si>
    <t>Коэффициент вариации, %</t>
  </si>
  <si>
    <t>V = σ / x̄ · 100%</t>
  </si>
  <si>
    <t>Вывод об однородности</t>
  </si>
  <si>
    <t>V ≤ 33% однородная, V &gt; 33% неоднородная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</si>
</sst>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8">
    <tableStyle name="1-style" pivot="0" count="4">
      <tableStyleElement type="wholeTable" size="0" dxfId="86"/>
      <tableStyleElement type="headerRow" dxfId="89"/>
      <tableStyleElement type="firstRowStripe" dxfId="88"/>
      <tableStyleElement type="secondRowStripe" dxfId="87"/>
    </tableStyle>
    <tableStyle name="2-style" pivot="0" count="4">
      <tableStyleElement type="wholeTable" size="0" dxfId="82"/>
      <tableStyleElement type="headerRow" dxfId="85"/>
      <tableStyleElement type="firstRowStripe" dxfId="84"/>
      <tableStyleElement type="secondRowStripe" dxfId="83"/>
    </tableStyle>
    <tableStyle name="2-style 2" pivot="0" count="4">
      <tableStyleElement type="wholeTable" size="0" dxfId="78"/>
      <tableStyleElement type="headerRow" dxfId="81"/>
      <tableStyleElement type="firstRowStripe" dxfId="80"/>
      <tableStyleElement type="secondRowStripe" dxfId="79"/>
    </tableStyle>
    <tableStyle name="1-style 2" pivot="0" count="5">
      <tableStyleElement type="wholeTable" size="0" dxfId="73"/>
      <tableStyleElement type="headerRow" dxfId="77"/>
      <tableStyleElement type="totalRow" dxfId="74"/>
      <tableStyleElement type="firstRowStripe" dxfId="76"/>
      <tableStyleElement type="secondRowStripe" dxfId="75"/>
    </tableStyle>
    <tableStyle name="2-style 3" pivot="0" count="5">
      <tableStyleElement type="wholeTable" size="0" dxfId="68"/>
      <tableStyleElement type="headerRow" dxfId="72"/>
      <tableStyleElement type="totalRow" dxfId="69"/>
      <tableStyleElement type="firstRowStripe" dxfId="71"/>
      <tableStyleElement type="secondRowStripe" dxfId="70"/>
    </tableStyle>
    <tableStyle name="1-style 3" pivot="0" count="5">
      <tableStyleElement type="wholeTable" size="0" dxfId="63"/>
      <tableStyleElement type="headerRow" dxfId="67"/>
      <tableStyleElement type="totalRow" dxfId="64"/>
      <tableStyleElement type="firstRowStripe" dxfId="66"/>
      <tableStyleElement type="secondRowStripe" dxfId="65"/>
    </tableStyle>
    <tableStyle name="2-style 4" pivot="0" count="5">
      <tableStyleElement type="wholeTable" size="0" dxfId="58"/>
      <tableStyleElement type="headerRow" dxfId="62"/>
      <tableStyleElement type="totalRow" dxfId="59"/>
      <tableStyleElement type="firstRowStripe" dxfId="61"/>
      <tableStyleElement type="secondRowStripe" dxfId="60"/>
    </tableStyle>
    <tableStyle name="1-style 4" pivot="0" count="5">
      <tableStyleElement type="wholeTable" size="0" dxfId="53"/>
      <tableStyleElement type="headerRow" dxfId="57"/>
      <tableStyleElement type="totalRow" dxfId="54"/>
      <tableStyleElement type="firstRowStripe" dxfId="56"/>
      <tableStyleElement type="secondRowStripe" dxfId="55"/>
    </tableStyle>
    <tableStyle name="2-style 5" pivot="0" count="4">
      <tableStyleElement type="wholeTable" size="0" dxfId="49"/>
      <tableStyleElement type="headerRow" dxfId="52"/>
      <tableStyleElement type="firstRowStripe" dxfId="51"/>
      <tableStyleElement type="secondRowStripe" dxfId="50"/>
    </tableStyle>
    <tableStyle name="1-style 5" pivot="0" count="4">
      <tableStyleElement type="wholeTable" size="0" dxfId="45"/>
      <tableStyleElement type="headerRow" dxfId="48"/>
      <tableStyleElement type="firstRowStripe" dxfId="47"/>
      <tableStyleElement type="secondRowStripe" dxfId="46"/>
    </tableStyle>
    <tableStyle name="2-style 6" pivot="0" count="4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2-style 7" pivot="0" count="5">
      <tableStyleElement type="wholeTable" size="0" dxfId="36"/>
      <tableStyleElement type="headerRow" dxfId="40"/>
      <tableStyleElement type="totalRow" dxfId="37"/>
      <tableStyleElement type="firstRowStripe" dxfId="39"/>
      <tableStyleElement type="secondRowStripe" dxfId="38"/>
    </tableStyle>
    <tableStyle name="2-style 8" pivot="0" count="4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3-style" pivot="0" count="5">
      <tableStyleElement type="wholeTable" size="0" dxfId="27"/>
      <tableStyleElement type="headerRow" dxfId="31"/>
      <tableStyleElement type="totalRow" dxfId="28"/>
      <tableStyleElement type="firstRowStripe" dxfId="30"/>
      <tableStyleElement type="secondRowStripe" dxfId="29"/>
    </tableStyle>
    <tableStyle name="3-style 2" pivot="0" count="5">
      <tableStyleElement type="wholeTable" size="0" dxfId="22"/>
      <tableStyleElement type="headerRow" dxfId="26"/>
      <tableStyleElement type="totalRow" dxfId="23"/>
      <tableStyleElement type="firstRowStripe" dxfId="25"/>
      <tableStyleElement type="secondRowStripe" dxfId="24"/>
    </tableStyle>
    <tableStyle name="3-style 3" pivot="0" count="4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3-style 4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3-style 5" pivot="0" count="4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o-RO" b="0">
                <a:solidFill>
                  <a:srgbClr val="757575"/>
                </a:solidFill>
                <a:latin typeface="+mn-lt"/>
              </a:rPr>
              <a:t>f </a:t>
            </a:r>
            <a:r>
              <a:rPr lang="ru-MD" b="0">
                <a:solidFill>
                  <a:srgbClr val="757575"/>
                </a:solidFill>
                <a:latin typeface="+mn-lt"/>
              </a:rPr>
              <a:t>относительно параметра "</a:t>
            </a:r>
            <a:r>
              <a:rPr lang="ro-RO" b="0">
                <a:solidFill>
                  <a:srgbClr val="757575"/>
                </a:solidFill>
                <a:latin typeface="+mn-lt"/>
              </a:rPr>
              <a:t>x"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'1'!$B$9</c:f>
              <c:strCache>
                <c:ptCount val="1"/>
                <c:pt idx="0">
                  <c:v>Столбец 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'1'!$A$10:$A$21</c:f>
              <c:strCache>
                <c:ptCount val="12"/>
                <c:pt idx="0">
                  <c:v>Разряд</c:v>
                </c:pt>
                <c:pt idx="1">
                  <c:v>x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'1'!$B$10:$B$21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17</c:v>
                </c:pt>
                <c:pt idx="6">
                  <c:v>11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438-BCA5-71B46F8B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714788"/>
        <c:axId val="117069551"/>
      </c:lineChart>
      <c:catAx>
        <c:axId val="1507714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o-RO"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o-RO"/>
          </a:p>
        </c:txPr>
        <c:crossAx val="117069551"/>
        <c:crosses val="autoZero"/>
        <c:auto val="1"/>
        <c:lblAlgn val="ctr"/>
        <c:lblOffset val="100"/>
        <c:noMultiLvlLbl val="1"/>
      </c:catAx>
      <c:valAx>
        <c:axId val="117069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o-RO" b="0">
                    <a:solidFill>
                      <a:srgbClr val="000000"/>
                    </a:solidFill>
                    <a:latin typeface="+mn-lt"/>
                  </a:rPr>
                  <a:t>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o-RO"/>
          </a:p>
        </c:txPr>
        <c:crossAx val="150771478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o-R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'2'!$C$21:$C$27</c:f>
              <c:strCache>
                <c:ptCount val="7"/>
                <c:pt idx="0">
                  <c:v>30–83</c:v>
                </c:pt>
                <c:pt idx="1">
                  <c:v>83–136</c:v>
                </c:pt>
                <c:pt idx="2">
                  <c:v>136–189</c:v>
                </c:pt>
                <c:pt idx="3">
                  <c:v>189–242</c:v>
                </c:pt>
                <c:pt idx="4">
                  <c:v>242–295</c:v>
                </c:pt>
                <c:pt idx="5">
                  <c:v>295–348</c:v>
                </c:pt>
                <c:pt idx="6">
                  <c:v>348–401</c:v>
                </c:pt>
              </c:strCache>
            </c:strRef>
          </c:cat>
          <c:val>
            <c:numRef>
              <c:f>'2'!$D$21:$D$27</c:f>
              <c:numCache>
                <c:formatCode>General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12</c:v>
                </c:pt>
                <c:pt idx="4">
                  <c:v>8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8-4225-9B0F-ACDD2F292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16971"/>
        <c:axId val="225913075"/>
      </c:barChart>
      <c:catAx>
        <c:axId val="104916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o-RO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o-RO"/>
          </a:p>
        </c:txPr>
        <c:crossAx val="225913075"/>
        <c:crosses val="autoZero"/>
        <c:auto val="1"/>
        <c:lblAlgn val="ctr"/>
        <c:lblOffset val="100"/>
        <c:noMultiLvlLbl val="1"/>
      </c:catAx>
      <c:valAx>
        <c:axId val="225913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o-RO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o-RO"/>
          </a:p>
        </c:txPr>
        <c:crossAx val="10491697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o-R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Овощи, Фрукты, Виноград и Итого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'3'!$B$19</c:f>
              <c:strCache>
                <c:ptCount val="1"/>
                <c:pt idx="0">
                  <c:v>ОВВП тек., %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'3'!$A$20:$A$23</c:f>
              <c:strCache>
                <c:ptCount val="4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  <c:pt idx="3">
                  <c:v>Итого</c:v>
                </c:pt>
              </c:strCache>
            </c:strRef>
          </c:cat>
          <c:val>
            <c:numRef>
              <c:f>'3'!$B$20:$B$23</c:f>
              <c:numCache>
                <c:formatCode>General</c:formatCode>
                <c:ptCount val="4"/>
                <c:pt idx="0">
                  <c:v>90</c:v>
                </c:pt>
                <c:pt idx="1">
                  <c:v>105</c:v>
                </c:pt>
                <c:pt idx="2">
                  <c:v>110.79999999999998</c:v>
                </c:pt>
                <c:pt idx="3">
                  <c:v>104.90909090909091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A-4933-93C0-7742F41DF027}"/>
            </c:ext>
          </c:extLst>
        </c:ser>
        <c:ser>
          <c:idx val="1"/>
          <c:order val="1"/>
          <c:tx>
            <c:strRef>
              <c:f>'3'!$C$19</c:f>
              <c:strCache>
                <c:ptCount val="1"/>
                <c:pt idx="0">
                  <c:v>ОВВП буд., %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'3'!$A$20:$A$23</c:f>
              <c:strCache>
                <c:ptCount val="4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  <c:pt idx="3">
                  <c:v>Итого</c:v>
                </c:pt>
              </c:strCache>
            </c:strRef>
          </c:cat>
          <c:val>
            <c:numRef>
              <c:f>'3'!$C$20:$C$23</c:f>
              <c:numCache>
                <c:formatCode>General</c:formatCode>
                <c:ptCount val="4"/>
                <c:pt idx="0">
                  <c:v>97.560975609756099</c:v>
                </c:pt>
                <c:pt idx="1">
                  <c:v>102.08333333333333</c:v>
                </c:pt>
                <c:pt idx="2">
                  <c:v>103.39285714285712</c:v>
                </c:pt>
                <c:pt idx="3">
                  <c:v>101.65787490580259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A-4933-93C0-7742F41DF027}"/>
            </c:ext>
          </c:extLst>
        </c:ser>
        <c:ser>
          <c:idx val="2"/>
          <c:order val="2"/>
          <c:tx>
            <c:strRef>
              <c:f>'3'!$D$19</c:f>
              <c:strCache>
                <c:ptCount val="1"/>
                <c:pt idx="0">
                  <c:v>ОВПЗ, %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'3'!$A$20:$A$23</c:f>
              <c:strCache>
                <c:ptCount val="4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  <c:pt idx="3">
                  <c:v>Итого</c:v>
                </c:pt>
              </c:strCache>
            </c:strRef>
          </c:cat>
          <c:val>
            <c:numRef>
              <c:f>'3'!$D$20:$D$23</c:f>
              <c:numCache>
                <c:formatCode>General</c:formatCode>
                <c:ptCount val="4"/>
                <c:pt idx="0">
                  <c:v>159.44444444444443</c:v>
                </c:pt>
                <c:pt idx="1">
                  <c:v>114.28571428571428</c:v>
                </c:pt>
                <c:pt idx="2">
                  <c:v>101.08303249097472</c:v>
                </c:pt>
                <c:pt idx="3">
                  <c:v>114.99133448873482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A-4933-93C0-7742F41DF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928903"/>
        <c:axId val="622549431"/>
      </c:barChart>
      <c:catAx>
        <c:axId val="2055928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Продукция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o-RO"/>
          </a:p>
        </c:txPr>
        <c:crossAx val="622549431"/>
        <c:crosses val="autoZero"/>
        <c:auto val="1"/>
        <c:lblAlgn val="ctr"/>
        <c:lblOffset val="100"/>
        <c:noMultiLvlLbl val="1"/>
      </c:catAx>
      <c:valAx>
        <c:axId val="622549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o-RO"/>
          </a:p>
        </c:txPr>
        <c:crossAx val="20559289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o-R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962025</xdr:colOff>
      <xdr:row>8</xdr:row>
      <xdr:rowOff>9525</xdr:rowOff>
    </xdr:from>
    <xdr:ext cx="5715000" cy="3533775"/>
    <xdr:graphicFrame macro="">
      <xdr:nvGraphicFramePr>
        <xdr:cNvPr id="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17</xdr:row>
      <xdr:rowOff>19050</xdr:rowOff>
    </xdr:from>
    <xdr:ext cx="5715000" cy="3533775"/>
    <xdr:graphicFrame macro=""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714375</xdr:colOff>
      <xdr:row>15</xdr:row>
      <xdr:rowOff>161925</xdr:rowOff>
    </xdr:from>
    <xdr:ext cx="5715000" cy="3533775"/>
    <xdr:graphicFrame macro=""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Таблица1" displayName="Таблица1" ref="A1:O6">
  <tableColumns count="15">
    <tableColumn id="1" name="Исходные данные (70 записей)"/>
    <tableColumn id="2" name="Столбец 1"/>
    <tableColumn id="3" name="Столбец 2"/>
    <tableColumn id="4" name="Столбец 3"/>
    <tableColumn id="5" name="Столбец 4"/>
    <tableColumn id="6" name="Столбец 5"/>
    <tableColumn id="7" name="Столбец 6"/>
    <tableColumn id="8" name="Столбец 7"/>
    <tableColumn id="9" name="Столбец 8"/>
    <tableColumn id="10" name="Столбец 9"/>
    <tableColumn id="11" name="Столбец 10"/>
    <tableColumn id="12" name="Столбец 11"/>
    <tableColumn id="13" name="Столбец 12"/>
    <tableColumn id="14" name="Столбец 13"/>
    <tableColumn id="15" name="Столбец 14"/>
  </tableColumns>
  <tableStyleInfo name="1-style" showFirstColumn="1" showLastColumn="1" showRowStripes="1" showColumnStripes="0"/>
</table>
</file>

<file path=xl/tables/table2.xml><?xml version="1.0" encoding="utf-8"?>
<table xmlns="http://schemas.openxmlformats.org/spreadsheetml/2006/main" id="4" name="Группировка" displayName="Группировка" ref="A9:B22" totalsRowCount="1">
  <tableColumns count="2">
    <tableColumn id="1" name="1.1. Группировка данных по вариантам" totalsRowLabel="Итого" totalsRowDxfId="9"/>
    <tableColumn id="2" name="Столбец 1" totalsRowFunction="custom" totalsRowDxfId="8">
      <totalsRowFormula>SUM(B12:B20)</totalsRowFormula>
    </tableColumn>
  </tableColumns>
  <tableStyleInfo name="1-style 2" showFirstColumn="1" showLastColumn="1" showRowStripes="1" showColumnStripes="0"/>
</table>
</file>

<file path=xl/tables/table3.xml><?xml version="1.0" encoding="utf-8"?>
<table xmlns="http://schemas.openxmlformats.org/spreadsheetml/2006/main" id="6" name="Таблица2" displayName="Таблица2" ref="A25:C38" totalsRowCount="1">
  <tableColumns count="3">
    <tableColumn id="1" name="1.3. Структурное распределение рабочих по разрядам" totalsRowLabel="Итого" totalsRowDxfId="7"/>
    <tableColumn id="2" name="Столбец 1" totalsRowFunction="custom" totalsRowDxfId="6">
      <totalsRowFormula>SUM(B28:B36)</totalsRowFormula>
    </tableColumn>
    <tableColumn id="3" name="Столбец 2" totalsRowFunction="custom" totalsRowDxfId="5">
      <totalsRowFormula>SUM(C28:C36)</totalsRowFormula>
    </tableColumn>
  </tableColumns>
  <tableStyleInfo name="1-style 3" showFirstColumn="1" showLastColumn="1" showRowStripes="1" showColumnStripes="0"/>
</table>
</file>

<file path=xl/tables/table4.xml><?xml version="1.0" encoding="utf-8"?>
<table xmlns="http://schemas.openxmlformats.org/spreadsheetml/2006/main" id="8" name="Таблица3" displayName="Таблица3" ref="A40:F53" totalsRowCount="1">
  <tableColumns count="6">
    <tableColumn id="1" name="1.4. Средние величины, мода, медиана" totalsRowLabel="Итого" totalsRowDxfId="4"/>
    <tableColumn id="2" name="Столбец 1" totalsRowFunction="custom" totalsRowDxfId="3">
      <totalsRowFormula>SUM(B43:B51)</totalsRowFormula>
    </tableColumn>
    <tableColumn id="3" name="Столбец 2" totalsRowFunction="custom" totalsRowDxfId="2">
      <totalsRowFormula>SUM(C43:C51)</totalsRowFormula>
    </tableColumn>
    <tableColumn id="4" name="Столбец 3" totalsRowFunction="custom" totalsRowDxfId="1">
      <totalsRowFormula>SUM(D43:D51)</totalsRowFormula>
    </tableColumn>
    <tableColumn id="5" name="Столбец 4" totalsRowFunction="custom" totalsRowDxfId="0">
      <totalsRowFormula>SUM(E43:E51)</totalsRowFormula>
    </tableColumn>
    <tableColumn id="6" name="Столбец 5"/>
  </tableColumns>
  <tableStyleInfo name="1-style 4" showFirstColumn="1" showLastColumn="1" showRowStripes="1" showColumnStripes="0"/>
</table>
</file>

<file path=xl/tables/table5.xml><?xml version="1.0" encoding="utf-8"?>
<table xmlns="http://schemas.openxmlformats.org/spreadsheetml/2006/main" id="10" name="Таблица4" displayName="Таблица4" ref="A55:C61">
  <tableColumns count="3">
    <tableColumn id="1" name="Результаты"/>
    <tableColumn id="2" name="Столбец 1"/>
    <tableColumn id="3" name="Столбец 2"/>
  </tableColumns>
  <tableStyleInfo name="1-style 5" showFirstColumn="1" showLastColumn="1" showRowStripes="1" showColumnStripes="0"/>
</table>
</file>

<file path=xl/tables/table6.xml><?xml version="1.0" encoding="utf-8"?>
<table xmlns="http://schemas.openxmlformats.org/spreadsheetml/2006/main" id="2" name="Таблица5" displayName="Таблица5" ref="A1:J6">
  <tableColumns count="10">
    <tableColumn id="1" name="Исходные данные: стоимость основных фондов (тыс. лей), 50 предприятий"/>
    <tableColumn id="2" name="Столбец 1"/>
    <tableColumn id="3" name="Столбец 2"/>
    <tableColumn id="4" name="Столбец 3"/>
    <tableColumn id="5" name="Столбец 4"/>
    <tableColumn id="6" name="Столбец 5"/>
    <tableColumn id="7" name="Столбец 6"/>
    <tableColumn id="8" name="Столбец 7"/>
    <tableColumn id="9" name="Столбец 8"/>
    <tableColumn id="10" name="Столбец 9"/>
  </tableColumns>
  <tableStyleInfo name="2-style" showFirstColumn="1" showLastColumn="1" showRowStripes="1" showColumnStripes="0"/>
</table>
</file>

<file path=xl/tables/table7.xml><?xml version="1.0" encoding="utf-8"?>
<table xmlns="http://schemas.openxmlformats.org/spreadsheetml/2006/main" id="3" name="Таблица6" displayName="Таблица6" ref="A8:C16">
  <tableColumns count="3">
    <tableColumn id="1" name="2.1. Группировка по интервалам: расчёт параметров"/>
    <tableColumn id="2" name="Столбец 1"/>
    <tableColumn id="3" name="Столбец 2"/>
  </tableColumns>
  <tableStyleInfo name="2-style 2" showFirstColumn="1" showLastColumn="1" showRowStripes="1" showColumnStripes="0"/>
</table>
</file>

<file path=xl/tables/table8.xml><?xml version="1.0" encoding="utf-8"?>
<table xmlns="http://schemas.openxmlformats.org/spreadsheetml/2006/main" id="5" name="Таблица7" displayName="Таблица7" ref="A18:F28" totalsRowCount="1">
  <tableColumns count="6">
    <tableColumn id="1" name="Интервальный ряд" totalsRowLabel="Итого"/>
    <tableColumn id="2" name="Столбец 1"/>
    <tableColumn id="3" name="Столбец 2"/>
    <tableColumn id="4" name="Столбец 3" totalsRowFunction="custom">
      <totalsRowFormula>SUM(D21:D27)</totalsRowFormula>
    </tableColumn>
    <tableColumn id="5" name="Столбец 4"/>
    <tableColumn id="6" name="Столбец 5"/>
  </tableColumns>
  <tableStyleInfo name="2-style 3" showFirstColumn="1" showLastColumn="1" showRowStripes="1" showColumnStripes="0"/>
</table>
</file>

<file path=xl/tables/table9.xml><?xml version="1.0" encoding="utf-8"?>
<table xmlns="http://schemas.openxmlformats.org/spreadsheetml/2006/main" id="7" name="Таблица8" displayName="Таблица8" ref="A30:D40" totalsRowCount="1">
  <tableColumns count="4">
    <tableColumn id="1" name="2.3. Средняя арифметическая, мода, медиана, квартили" totalsRowLabel="Итого"/>
    <tableColumn id="2" name="Столбец 1" totalsRowFunction="custom">
      <totalsRowFormula>SUM(B33:B39)</totalsRowFormula>
    </tableColumn>
    <tableColumn id="3" name="Столбец 2"/>
    <tableColumn id="4" name="Столбец 3" totalsRowFunction="custom">
      <totalsRowFormula>SUM(D33:D39)</totalsRowFormula>
    </tableColumn>
  </tableColumns>
  <tableStyleInfo name="2-style 4" showFirstColumn="1" showLastColumn="1" showRowStripes="1" showColumnStripes="0"/>
</table>
</file>

<file path=xl/tables/table10.xml><?xml version="1.0" encoding="utf-8"?>
<table xmlns="http://schemas.openxmlformats.org/spreadsheetml/2006/main" id="9" name="Таблица9" displayName="Таблица9" ref="A42:C50">
  <tableColumns count="3">
    <tableColumn id="1" name="Средняя и мода"/>
    <tableColumn id="2" name="Столбец 1"/>
    <tableColumn id="3" name="Столбец 2"/>
  </tableColumns>
  <tableStyleInfo name="2-style 5" showFirstColumn="1" showLastColumn="1" showRowStripes="1" showColumnStripes="0"/>
</table>
</file>

<file path=xl/tables/table11.xml><?xml version="1.0" encoding="utf-8"?>
<table xmlns="http://schemas.openxmlformats.org/spreadsheetml/2006/main" id="11" name="Таблица10" displayName="Таблица10" ref="A52:G57">
  <tableColumns count="7">
    <tableColumn id="1" name="Медиана и квартили"/>
    <tableColumn id="2" name="Столбец 1"/>
    <tableColumn id="3" name="Столбец 2"/>
    <tableColumn id="4" name="Столбец 3"/>
    <tableColumn id="5" name="Столбец 4"/>
    <tableColumn id="6" name="Столбец 5"/>
    <tableColumn id="7" name="Столбец 6"/>
  </tableColumns>
  <tableStyleInfo name="2-style 6" showFirstColumn="1" showLastColumn="1" showRowStripes="1" showColumnStripes="0"/>
</table>
</file>

<file path=xl/tables/table12.xml><?xml version="1.0" encoding="utf-8"?>
<table xmlns="http://schemas.openxmlformats.org/spreadsheetml/2006/main" id="12" name="Таблица11" displayName="Таблица11" ref="A59:F69" totalsRowCount="1">
  <tableColumns count="6">
    <tableColumn id="1" name="2.4. Показатели вариации: дисперсия, среднее квадратическое отклонение, коэффициент вариации" totalsRowLabel="Итого"/>
    <tableColumn id="2" name="Столбец 1" totalsRowFunction="custom">
      <totalsRowFormula>SUM(B62:B68)</totalsRowFormula>
    </tableColumn>
    <tableColumn id="3" name="Столбец 2"/>
    <tableColumn id="4" name="Столбец 3"/>
    <tableColumn id="5" name="Столбец 4"/>
    <tableColumn id="6" name="Столбец 5" totalsRowFunction="custom">
      <totalsRowFormula>SUM(F62:F68)</totalsRowFormula>
    </tableColumn>
  </tableColumns>
  <tableStyleInfo name="2-style 7" showFirstColumn="1" showLastColumn="1" showRowStripes="1" showColumnStripes="0"/>
</table>
</file>

<file path=xl/tables/table13.xml><?xml version="1.0" encoding="utf-8"?>
<table xmlns="http://schemas.openxmlformats.org/spreadsheetml/2006/main" id="13" name="Таблица12" displayName="Таблица12" ref="A71:C76">
  <tableColumns count="3">
    <tableColumn id="1" name="Результаты"/>
    <tableColumn id="2" name="Столбец 1"/>
    <tableColumn id="3" name="Столбец 2"/>
  </tableColumns>
  <tableStyleInfo name="2-style 8" showFirstColumn="1" showLastColumn="1" showRowStripes="1" showColumnStripes="0"/>
</table>
</file>

<file path=xl/tables/table14.xml><?xml version="1.0" encoding="utf-8"?>
<table xmlns="http://schemas.openxmlformats.org/spreadsheetml/2006/main" id="14" name="Таблица13" displayName="Таблица13" ref="A1:E6" totalsRowCount="1">
  <tableColumns count="5">
    <tableColumn id="1" name="Исходные данные (тыс. т)" totalsRowLabel="Итого"/>
    <tableColumn id="2" name="Столбец 1" totalsRowFunction="custom">
      <totalsRowFormula>SUM(B3:B5)</totalsRowFormula>
    </tableColumn>
    <tableColumn id="3" name="Столбец 2" totalsRowFunction="custom">
      <totalsRowFormula>SUM(C3:C5)</totalsRowFormula>
    </tableColumn>
    <tableColumn id="4" name="Столбец 3" totalsRowFunction="custom">
      <totalsRowFormula>SUM(D3:D5)</totalsRowFormula>
    </tableColumn>
    <tableColumn id="5" name="Столбец 4" totalsRowFunction="custom">
      <totalsRowFormula>SUM(E3:E5)</totalsRowFormula>
    </tableColumn>
  </tableColumns>
  <tableStyleInfo name="3-style" showFirstColumn="1" showLastColumn="1" showRowStripes="1" showColumnStripes="0"/>
</table>
</file>

<file path=xl/tables/table15.xml><?xml version="1.0" encoding="utf-8"?>
<table xmlns="http://schemas.openxmlformats.org/spreadsheetml/2006/main" id="15" name="Таблица14" displayName="Таблица14" ref="A8:E14" totalsRowCount="1">
  <tableColumns count="5">
    <tableColumn id="1" name="3.1. Абсолютные величины (тыс. т)" totalsRowFunction="custom">
      <totalsRowFormula>A6</totalsRowFormula>
    </tableColumn>
    <tableColumn id="2" name="Столбец 1" totalsRowFunction="custom">
      <totalsRowFormula>C6-B6</totalsRowFormula>
    </tableColumn>
    <tableColumn id="3" name="Столбец 2" totalsRowFunction="custom">
      <totalsRowFormula>E6-D6</totalsRowFormula>
    </tableColumn>
    <tableColumn id="4" name="Столбец 3" totalsRowFunction="custom">
      <totalsRowFormula>E6-C6</totalsRowFormula>
    </tableColumn>
    <tableColumn id="5" name="Столбец 4" totalsRowFunction="custom">
      <totalsRowFormula>D6-C6</totalsRowFormula>
    </tableColumn>
  </tableColumns>
  <tableStyleInfo name="3-style 2" showFirstColumn="1" showLastColumn="1" showRowStripes="1" showColumnStripes="0"/>
</table>
</file>

<file path=xl/tables/table16.xml><?xml version="1.0" encoding="utf-8"?>
<table xmlns="http://schemas.openxmlformats.org/spreadsheetml/2006/main" id="16" name="Таблица15" displayName="Таблица15" ref="A16:F23">
  <tableColumns count="6">
    <tableColumn id="1" name="3.2. Относительные величины"/>
    <tableColumn id="2" name="Столбец 1"/>
    <tableColumn id="3" name="Столбец 2"/>
    <tableColumn id="4" name="Столбец 3"/>
    <tableColumn id="5" name="Столбец 4"/>
    <tableColumn id="6" name="Столбец 5"/>
  </tableColumns>
  <tableStyleInfo name="3-style 3" showFirstColumn="1" showLastColumn="1" showRowStripes="1" showColumnStripes="0"/>
</table>
</file>

<file path=xl/tables/table17.xml><?xml version="1.0" encoding="utf-8"?>
<table xmlns="http://schemas.openxmlformats.org/spreadsheetml/2006/main" id="17" name="Таблица16" displayName="Таблица16" ref="A25:C31">
  <tableColumns count="3">
    <tableColumn id="1" name="Относительные величины структуры (доля в общем факте)"/>
    <tableColumn id="2" name="Столбец 1"/>
    <tableColumn id="3" name="Столбец 2"/>
  </tableColumns>
  <tableStyleInfo name="3-style 4" showFirstColumn="1" showLastColumn="1" showRowStripes="1" showColumnStripes="0"/>
</table>
</file>

<file path=xl/tables/table18.xml><?xml version="1.0" encoding="utf-8"?>
<table xmlns="http://schemas.openxmlformats.org/spreadsheetml/2006/main" id="18" name="Таблица17" displayName="Таблица17" ref="A33:C37">
  <tableColumns count="3">
    <tableColumn id="1" name="Относительные величины координации (во сколько раз больше, чем овощей)"/>
    <tableColumn id="2" name="Столбец 1"/>
    <tableColumn id="3" name="Столбец 2"/>
  </tableColumns>
  <tableStyleInfo name="3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61"/>
  <sheetViews>
    <sheetView tabSelected="1" workbookViewId="0">
      <pane ySplit="1" topLeftCell="A49" activePane="bottomLeft" state="frozen"/>
      <selection pane="bottomLeft" activeCell="F52" sqref="F52"/>
    </sheetView>
  </sheetViews>
  <sheetFormatPr defaultColWidth="12.6640625" defaultRowHeight="15.75" customHeight="1" x14ac:dyDescent="0.25"/>
  <cols>
    <col min="1" max="1" width="14.88671875" customWidth="1"/>
    <col min="2" max="2" width="30.33203125" customWidth="1"/>
    <col min="5" max="5" width="12.88671875" customWidth="1"/>
    <col min="6" max="6" width="13.109375" customWidth="1"/>
    <col min="7" max="8" width="13.33203125" customWidth="1"/>
    <col min="9" max="9" width="13" customWidth="1"/>
  </cols>
  <sheetData>
    <row r="1" spans="1:15" ht="24.75" customHeight="1" x14ac:dyDescent="0.25">
      <c r="A1" s="3" t="s">
        <v>47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4" t="s">
        <v>62</v>
      </c>
    </row>
    <row r="2" spans="1:15" ht="22.5" customHeight="1" x14ac:dyDescent="0.25">
      <c r="A2" s="6">
        <v>2</v>
      </c>
      <c r="B2" s="6">
        <v>4</v>
      </c>
      <c r="C2" s="6">
        <v>1</v>
      </c>
      <c r="D2" s="6">
        <v>5</v>
      </c>
      <c r="E2" s="6">
        <v>1</v>
      </c>
      <c r="F2" s="6">
        <v>3</v>
      </c>
      <c r="G2" s="6">
        <v>2</v>
      </c>
      <c r="H2" s="6">
        <v>4</v>
      </c>
      <c r="I2" s="6">
        <v>5</v>
      </c>
      <c r="J2" s="6">
        <v>9</v>
      </c>
      <c r="K2" s="6">
        <v>4</v>
      </c>
      <c r="L2" s="6">
        <v>1</v>
      </c>
      <c r="M2" s="6">
        <v>4</v>
      </c>
      <c r="N2" s="6">
        <v>4</v>
      </c>
      <c r="O2" s="6">
        <v>6</v>
      </c>
    </row>
    <row r="3" spans="1:15" ht="22.5" customHeight="1" x14ac:dyDescent="0.25">
      <c r="A3" s="6">
        <v>4</v>
      </c>
      <c r="B3" s="6">
        <v>7</v>
      </c>
      <c r="C3" s="6">
        <v>6</v>
      </c>
      <c r="D3" s="6">
        <v>4</v>
      </c>
      <c r="E3" s="6">
        <v>7</v>
      </c>
      <c r="F3" s="6">
        <v>3</v>
      </c>
      <c r="G3" s="6">
        <v>4</v>
      </c>
      <c r="H3" s="6">
        <v>5</v>
      </c>
      <c r="I3" s="6">
        <v>8</v>
      </c>
      <c r="J3" s="6">
        <v>5</v>
      </c>
      <c r="K3" s="6">
        <v>3</v>
      </c>
      <c r="L3" s="6">
        <v>4</v>
      </c>
      <c r="M3" s="6">
        <v>5</v>
      </c>
      <c r="N3" s="6">
        <v>2</v>
      </c>
      <c r="O3" s="6">
        <v>1</v>
      </c>
    </row>
    <row r="4" spans="1:15" ht="22.5" customHeight="1" x14ac:dyDescent="0.25">
      <c r="A4" s="6">
        <v>8</v>
      </c>
      <c r="B4" s="6">
        <v>1</v>
      </c>
      <c r="C4" s="6">
        <v>7</v>
      </c>
      <c r="D4" s="6">
        <v>3</v>
      </c>
      <c r="E4" s="6">
        <v>9</v>
      </c>
      <c r="F4" s="6">
        <v>7</v>
      </c>
      <c r="G4" s="6">
        <v>6</v>
      </c>
      <c r="H4" s="6">
        <v>4</v>
      </c>
      <c r="I4" s="6">
        <v>4</v>
      </c>
      <c r="J4" s="6">
        <v>5</v>
      </c>
      <c r="K4" s="6">
        <v>2</v>
      </c>
      <c r="L4" s="6">
        <v>5</v>
      </c>
      <c r="M4" s="6">
        <v>4</v>
      </c>
      <c r="N4" s="6">
        <v>5</v>
      </c>
      <c r="O4" s="6">
        <v>1</v>
      </c>
    </row>
    <row r="5" spans="1:15" ht="22.5" customHeight="1" x14ac:dyDescent="0.25">
      <c r="A5" s="6">
        <v>2</v>
      </c>
      <c r="B5" s="6">
        <v>2</v>
      </c>
      <c r="C5" s="6">
        <v>4</v>
      </c>
      <c r="D5" s="6">
        <v>2</v>
      </c>
      <c r="E5" s="6">
        <v>2</v>
      </c>
      <c r="F5" s="6">
        <v>5</v>
      </c>
      <c r="G5" s="6">
        <v>1</v>
      </c>
      <c r="H5" s="6">
        <v>8</v>
      </c>
      <c r="I5" s="6">
        <v>3</v>
      </c>
      <c r="J5" s="6">
        <v>6</v>
      </c>
      <c r="K5" s="6">
        <v>4</v>
      </c>
      <c r="L5" s="6">
        <v>3</v>
      </c>
      <c r="M5" s="6">
        <v>9</v>
      </c>
      <c r="N5" s="6">
        <v>4</v>
      </c>
      <c r="O5" s="6">
        <v>5</v>
      </c>
    </row>
    <row r="6" spans="1:15" ht="22.5" customHeight="1" x14ac:dyDescent="0.25">
      <c r="A6" s="6">
        <v>3</v>
      </c>
      <c r="B6" s="6">
        <v>9</v>
      </c>
      <c r="C6" s="6">
        <v>5</v>
      </c>
      <c r="D6" s="6">
        <v>1</v>
      </c>
      <c r="E6" s="6">
        <v>6</v>
      </c>
      <c r="F6" s="6">
        <v>4</v>
      </c>
      <c r="G6" s="6">
        <v>2</v>
      </c>
      <c r="H6" s="6">
        <v>7</v>
      </c>
      <c r="I6" s="6">
        <v>7</v>
      </c>
      <c r="J6" s="6">
        <v>4</v>
      </c>
      <c r="K6" s="7"/>
      <c r="L6" s="7"/>
      <c r="M6" s="7"/>
      <c r="N6" s="7"/>
      <c r="O6" s="7"/>
    </row>
    <row r="9" spans="1:15" ht="22.5" customHeight="1" x14ac:dyDescent="0.25">
      <c r="A9" s="3" t="s">
        <v>71</v>
      </c>
      <c r="B9" s="4" t="s">
        <v>49</v>
      </c>
    </row>
    <row r="10" spans="1:15" ht="22.5" customHeight="1" x14ac:dyDescent="0.25">
      <c r="A10" s="6" t="s">
        <v>72</v>
      </c>
      <c r="B10" s="6" t="s">
        <v>73</v>
      </c>
      <c r="C10" s="9"/>
      <c r="D10" s="9"/>
      <c r="E10" s="9"/>
      <c r="F10" s="9"/>
      <c r="G10" s="9"/>
      <c r="H10" s="9"/>
      <c r="I10" s="9"/>
    </row>
    <row r="11" spans="1:15" ht="22.5" customHeight="1" x14ac:dyDescent="0.25">
      <c r="A11" s="6" t="s">
        <v>74</v>
      </c>
      <c r="B11" s="6" t="s">
        <v>75</v>
      </c>
      <c r="C11" s="9"/>
      <c r="D11" s="9"/>
      <c r="E11" s="9"/>
      <c r="F11" s="9"/>
      <c r="G11" s="9"/>
      <c r="H11" s="9"/>
      <c r="I11" s="9"/>
    </row>
    <row r="12" spans="1:15" ht="22.5" customHeight="1" x14ac:dyDescent="0.25">
      <c r="A12" s="6">
        <v>1</v>
      </c>
      <c r="B12" s="10">
        <f t="shared" ref="B12:B21" si="0">COUNTIF($A$2:$O$6,A12)</f>
        <v>8</v>
      </c>
      <c r="C12" s="9"/>
      <c r="D12" s="9"/>
      <c r="E12" s="9"/>
      <c r="F12" s="9"/>
      <c r="G12" s="9"/>
      <c r="H12" s="9"/>
      <c r="I12" s="9"/>
    </row>
    <row r="13" spans="1:15" ht="22.5" customHeight="1" x14ac:dyDescent="0.25">
      <c r="A13" s="6">
        <v>2</v>
      </c>
      <c r="B13" s="10">
        <f t="shared" si="0"/>
        <v>9</v>
      </c>
      <c r="C13" s="9"/>
      <c r="D13" s="9"/>
      <c r="E13" s="9"/>
      <c r="F13" s="9"/>
      <c r="G13" s="9"/>
      <c r="H13" s="9"/>
      <c r="I13" s="9"/>
    </row>
    <row r="14" spans="1:15" ht="22.5" customHeight="1" x14ac:dyDescent="0.25">
      <c r="A14" s="6">
        <v>3</v>
      </c>
      <c r="B14" s="10">
        <f t="shared" si="0"/>
        <v>7</v>
      </c>
      <c r="C14" s="9"/>
      <c r="D14" s="9"/>
      <c r="E14" s="9"/>
      <c r="F14" s="9"/>
      <c r="G14" s="9"/>
      <c r="H14" s="9"/>
      <c r="I14" s="9"/>
    </row>
    <row r="15" spans="1:15" ht="22.5" customHeight="1" x14ac:dyDescent="0.25">
      <c r="A15" s="6">
        <v>4</v>
      </c>
      <c r="B15" s="10">
        <f t="shared" si="0"/>
        <v>17</v>
      </c>
      <c r="C15" s="9"/>
      <c r="D15" s="9"/>
      <c r="E15" s="9"/>
      <c r="F15" s="9"/>
      <c r="G15" s="9"/>
      <c r="H15" s="9"/>
      <c r="I15" s="9"/>
    </row>
    <row r="16" spans="1:15" ht="22.5" customHeight="1" x14ac:dyDescent="0.25">
      <c r="A16" s="6">
        <v>5</v>
      </c>
      <c r="B16" s="10">
        <f t="shared" si="0"/>
        <v>11</v>
      </c>
      <c r="C16" s="9"/>
      <c r="D16" s="9"/>
      <c r="E16" s="9"/>
      <c r="F16" s="9"/>
      <c r="G16" s="9"/>
      <c r="H16" s="9"/>
      <c r="I16" s="9"/>
    </row>
    <row r="17" spans="1:9" ht="22.5" customHeight="1" x14ac:dyDescent="0.25">
      <c r="A17" s="6">
        <v>6</v>
      </c>
      <c r="B17" s="10">
        <f t="shared" si="0"/>
        <v>5</v>
      </c>
      <c r="C17" s="9"/>
      <c r="D17" s="9"/>
      <c r="E17" s="9"/>
      <c r="F17" s="9"/>
      <c r="G17" s="9"/>
      <c r="H17" s="9"/>
      <c r="I17" s="9"/>
    </row>
    <row r="18" spans="1:9" ht="22.5" customHeight="1" x14ac:dyDescent="0.25">
      <c r="A18" s="6">
        <v>7</v>
      </c>
      <c r="B18" s="10">
        <f t="shared" si="0"/>
        <v>6</v>
      </c>
      <c r="C18" s="9"/>
      <c r="D18" s="9"/>
      <c r="E18" s="9"/>
      <c r="F18" s="9"/>
      <c r="G18" s="9"/>
      <c r="H18" s="9"/>
      <c r="I18" s="9"/>
    </row>
    <row r="19" spans="1:9" ht="22.5" customHeight="1" x14ac:dyDescent="0.25">
      <c r="A19" s="6">
        <v>8</v>
      </c>
      <c r="B19" s="10">
        <f t="shared" si="0"/>
        <v>3</v>
      </c>
      <c r="C19" s="9"/>
      <c r="D19" s="9"/>
      <c r="E19" s="9"/>
      <c r="F19" s="9"/>
      <c r="G19" s="9"/>
      <c r="H19" s="9"/>
      <c r="I19" s="9"/>
    </row>
    <row r="20" spans="1:9" ht="22.5" customHeight="1" x14ac:dyDescent="0.25">
      <c r="A20" s="6">
        <v>9</v>
      </c>
      <c r="B20" s="10">
        <f t="shared" si="0"/>
        <v>4</v>
      </c>
      <c r="C20" s="9"/>
      <c r="D20" s="9"/>
      <c r="E20" s="9"/>
      <c r="F20" s="9"/>
      <c r="G20" s="9"/>
      <c r="H20" s="9"/>
      <c r="I20" s="9"/>
    </row>
    <row r="21" spans="1:9" ht="22.5" customHeight="1" x14ac:dyDescent="0.25">
      <c r="A21" s="10">
        <v>10</v>
      </c>
      <c r="B21" s="10">
        <f t="shared" si="0"/>
        <v>0</v>
      </c>
      <c r="C21" s="9"/>
      <c r="D21" s="9"/>
      <c r="E21" s="9"/>
      <c r="F21" s="9"/>
      <c r="G21" s="9"/>
      <c r="H21" s="9"/>
      <c r="I21" s="9"/>
    </row>
    <row r="22" spans="1:9" ht="22.5" customHeight="1" x14ac:dyDescent="0.25">
      <c r="A22" s="8" t="s">
        <v>76</v>
      </c>
      <c r="B22" s="8">
        <f>SUM(B12:B20)</f>
        <v>70</v>
      </c>
    </row>
    <row r="25" spans="1:9" ht="22.5" customHeight="1" x14ac:dyDescent="0.25">
      <c r="A25" s="3" t="s">
        <v>77</v>
      </c>
      <c r="B25" s="4" t="s">
        <v>49</v>
      </c>
      <c r="C25" s="4" t="s">
        <v>50</v>
      </c>
      <c r="D25" s="14" t="s">
        <v>78</v>
      </c>
      <c r="E25" s="15"/>
      <c r="F25" s="15"/>
    </row>
    <row r="26" spans="1:9" ht="22.5" customHeight="1" x14ac:dyDescent="0.25">
      <c r="A26" s="5"/>
    </row>
    <row r="27" spans="1:9" ht="22.5" customHeight="1" x14ac:dyDescent="0.25">
      <c r="A27" s="5" t="s">
        <v>74</v>
      </c>
      <c r="B27" s="5" t="s">
        <v>75</v>
      </c>
      <c r="C27" s="5" t="s">
        <v>79</v>
      </c>
    </row>
    <row r="28" spans="1:9" ht="22.5" customHeight="1" x14ac:dyDescent="0.25">
      <c r="A28" s="8">
        <f t="shared" ref="A28:B28" si="1">A12</f>
        <v>1</v>
      </c>
      <c r="B28" s="8">
        <f t="shared" si="1"/>
        <v>8</v>
      </c>
      <c r="C28" s="8">
        <f>B28/$B$38*100</f>
        <v>11.428571428571429</v>
      </c>
    </row>
    <row r="29" spans="1:9" ht="22.5" customHeight="1" x14ac:dyDescent="0.25">
      <c r="A29" s="8">
        <f t="shared" ref="A29:B29" si="2">A13</f>
        <v>2</v>
      </c>
      <c r="B29" s="8">
        <f t="shared" si="2"/>
        <v>9</v>
      </c>
      <c r="C29" s="8">
        <f>B29/$B$38*100</f>
        <v>12.857142857142856</v>
      </c>
    </row>
    <row r="30" spans="1:9" ht="22.5" customHeight="1" x14ac:dyDescent="0.25">
      <c r="A30" s="8">
        <f t="shared" ref="A30:B30" si="3">A14</f>
        <v>3</v>
      </c>
      <c r="B30" s="8">
        <f t="shared" si="3"/>
        <v>7</v>
      </c>
      <c r="C30" s="8">
        <f>B30/$B$38*100</f>
        <v>10</v>
      </c>
    </row>
    <row r="31" spans="1:9" ht="22.5" customHeight="1" x14ac:dyDescent="0.25">
      <c r="A31" s="8">
        <f t="shared" ref="A31:B31" si="4">A15</f>
        <v>4</v>
      </c>
      <c r="B31" s="8">
        <f t="shared" si="4"/>
        <v>17</v>
      </c>
      <c r="C31" s="8">
        <f>B31/$B$38*100</f>
        <v>24.285714285714285</v>
      </c>
    </row>
    <row r="32" spans="1:9" ht="22.5" customHeight="1" x14ac:dyDescent="0.25">
      <c r="A32" s="8">
        <f t="shared" ref="A32:B32" si="5">A16</f>
        <v>5</v>
      </c>
      <c r="B32" s="8">
        <f t="shared" si="5"/>
        <v>11</v>
      </c>
      <c r="C32" s="8">
        <f>B32/$B$38*100</f>
        <v>15.714285714285714</v>
      </c>
    </row>
    <row r="33" spans="1:7" ht="22.5" customHeight="1" x14ac:dyDescent="0.25">
      <c r="A33" s="8">
        <f t="shared" ref="A33:B33" si="6">A17</f>
        <v>6</v>
      </c>
      <c r="B33" s="8">
        <f t="shared" si="6"/>
        <v>5</v>
      </c>
      <c r="C33" s="8">
        <f>B33/$B$38*100</f>
        <v>7.1428571428571423</v>
      </c>
    </row>
    <row r="34" spans="1:7" ht="22.5" customHeight="1" x14ac:dyDescent="0.25">
      <c r="A34" s="8">
        <f t="shared" ref="A34:B34" si="7">A18</f>
        <v>7</v>
      </c>
      <c r="B34" s="8">
        <f t="shared" si="7"/>
        <v>6</v>
      </c>
      <c r="C34" s="8">
        <f>B34/$B$38*100</f>
        <v>8.5714285714285712</v>
      </c>
    </row>
    <row r="35" spans="1:7" ht="22.5" customHeight="1" x14ac:dyDescent="0.25">
      <c r="A35" s="8">
        <f t="shared" ref="A35:B35" si="8">A19</f>
        <v>8</v>
      </c>
      <c r="B35" s="8">
        <f t="shared" si="8"/>
        <v>3</v>
      </c>
      <c r="C35" s="8">
        <f>B35/$B$38*100</f>
        <v>4.2857142857142856</v>
      </c>
    </row>
    <row r="36" spans="1:7" ht="22.5" customHeight="1" x14ac:dyDescent="0.25">
      <c r="A36" s="8">
        <f t="shared" ref="A36:B37" si="9">A20</f>
        <v>9</v>
      </c>
      <c r="B36" s="8">
        <f t="shared" si="9"/>
        <v>4</v>
      </c>
      <c r="C36" s="8">
        <f>B36/$B$38*100</f>
        <v>5.7142857142857144</v>
      </c>
    </row>
    <row r="37" spans="1:7" ht="22.5" customHeight="1" x14ac:dyDescent="0.25">
      <c r="A37" s="8">
        <f t="shared" si="9"/>
        <v>10</v>
      </c>
      <c r="B37" s="8">
        <f t="shared" si="9"/>
        <v>0</v>
      </c>
      <c r="C37" s="8">
        <f>B37/$B$38*100</f>
        <v>0</v>
      </c>
    </row>
    <row r="38" spans="1:7" ht="22.5" customHeight="1" x14ac:dyDescent="0.25">
      <c r="A38" s="8" t="s">
        <v>76</v>
      </c>
      <c r="B38" s="8">
        <f t="shared" ref="B38:C38" si="10">SUM(B28:B36)</f>
        <v>70</v>
      </c>
      <c r="C38" s="8">
        <f t="shared" si="10"/>
        <v>99.999999999999986</v>
      </c>
    </row>
    <row r="39" spans="1:7" ht="13.8" x14ac:dyDescent="0.25">
      <c r="D39" s="16" t="s">
        <v>82</v>
      </c>
      <c r="E39" s="15"/>
      <c r="F39" s="15"/>
      <c r="G39" s="15"/>
    </row>
    <row r="40" spans="1:7" ht="22.5" customHeight="1" x14ac:dyDescent="0.25">
      <c r="A40" s="3" t="s">
        <v>84</v>
      </c>
      <c r="B40" s="4" t="s">
        <v>49</v>
      </c>
      <c r="C40" s="4" t="s">
        <v>50</v>
      </c>
      <c r="D40" s="4" t="s">
        <v>51</v>
      </c>
      <c r="E40" s="4" t="s">
        <v>52</v>
      </c>
      <c r="F40" s="4" t="s">
        <v>53</v>
      </c>
    </row>
    <row r="41" spans="1:7" ht="22.5" customHeight="1" x14ac:dyDescent="0.25"/>
    <row r="42" spans="1:7" ht="22.5" customHeight="1" x14ac:dyDescent="0.25">
      <c r="A42" s="5" t="s">
        <v>74</v>
      </c>
      <c r="B42" s="5" t="s">
        <v>75</v>
      </c>
      <c r="C42" s="5" t="s">
        <v>96</v>
      </c>
      <c r="D42" s="5" t="s">
        <v>98</v>
      </c>
      <c r="E42" s="5" t="s">
        <v>99</v>
      </c>
      <c r="F42" s="5" t="s">
        <v>100</v>
      </c>
    </row>
    <row r="43" spans="1:7" ht="22.5" customHeight="1" x14ac:dyDescent="0.25">
      <c r="A43" s="8">
        <f t="shared" ref="A43:B43" si="11">A12</f>
        <v>1</v>
      </c>
      <c r="B43" s="8">
        <f t="shared" si="11"/>
        <v>8</v>
      </c>
      <c r="C43" s="8">
        <f t="shared" ref="C43:C52" si="12">A43*B43</f>
        <v>8</v>
      </c>
      <c r="D43" s="8">
        <f t="shared" ref="D43:D52" si="13">B43/A43</f>
        <v>8</v>
      </c>
      <c r="E43" s="8">
        <f t="shared" ref="E43:E52" si="14">A43^2*B43</f>
        <v>8</v>
      </c>
      <c r="F43" s="8">
        <f>B43</f>
        <v>8</v>
      </c>
    </row>
    <row r="44" spans="1:7" ht="22.5" customHeight="1" x14ac:dyDescent="0.25">
      <c r="A44" s="8">
        <f t="shared" ref="A44:B44" si="15">A13</f>
        <v>2</v>
      </c>
      <c r="B44" s="8">
        <f t="shared" si="15"/>
        <v>9</v>
      </c>
      <c r="C44" s="8">
        <f t="shared" si="12"/>
        <v>18</v>
      </c>
      <c r="D44" s="8">
        <f t="shared" si="13"/>
        <v>4.5</v>
      </c>
      <c r="E44" s="8">
        <f t="shared" si="14"/>
        <v>36</v>
      </c>
      <c r="F44" s="8">
        <f t="shared" ref="F44:F52" si="16">F43+B44</f>
        <v>17</v>
      </c>
    </row>
    <row r="45" spans="1:7" ht="22.5" customHeight="1" x14ac:dyDescent="0.25">
      <c r="A45" s="8">
        <f t="shared" ref="A45:B45" si="17">A14</f>
        <v>3</v>
      </c>
      <c r="B45" s="8">
        <f t="shared" si="17"/>
        <v>7</v>
      </c>
      <c r="C45" s="8">
        <f t="shared" si="12"/>
        <v>21</v>
      </c>
      <c r="D45" s="8">
        <f t="shared" si="13"/>
        <v>2.3333333333333335</v>
      </c>
      <c r="E45" s="8">
        <f t="shared" si="14"/>
        <v>63</v>
      </c>
      <c r="F45" s="8">
        <f t="shared" si="16"/>
        <v>24</v>
      </c>
    </row>
    <row r="46" spans="1:7" ht="22.5" customHeight="1" x14ac:dyDescent="0.25">
      <c r="A46" s="8">
        <f t="shared" ref="A46:B46" si="18">A15</f>
        <v>4</v>
      </c>
      <c r="B46" s="8">
        <f t="shared" si="18"/>
        <v>17</v>
      </c>
      <c r="C46" s="8">
        <f t="shared" si="12"/>
        <v>68</v>
      </c>
      <c r="D46" s="8">
        <f t="shared" si="13"/>
        <v>4.25</v>
      </c>
      <c r="E46" s="8">
        <f t="shared" si="14"/>
        <v>272</v>
      </c>
      <c r="F46" s="8">
        <f t="shared" si="16"/>
        <v>41</v>
      </c>
    </row>
    <row r="47" spans="1:7" ht="22.5" customHeight="1" x14ac:dyDescent="0.25">
      <c r="A47" s="8">
        <f t="shared" ref="A47:B47" si="19">A16</f>
        <v>5</v>
      </c>
      <c r="B47" s="8">
        <f t="shared" si="19"/>
        <v>11</v>
      </c>
      <c r="C47" s="8">
        <f t="shared" si="12"/>
        <v>55</v>
      </c>
      <c r="D47" s="8">
        <f t="shared" si="13"/>
        <v>2.2000000000000002</v>
      </c>
      <c r="E47" s="8">
        <f t="shared" si="14"/>
        <v>275</v>
      </c>
      <c r="F47" s="8">
        <f t="shared" si="16"/>
        <v>52</v>
      </c>
    </row>
    <row r="48" spans="1:7" ht="22.5" customHeight="1" x14ac:dyDescent="0.25">
      <c r="A48" s="8">
        <f t="shared" ref="A48:B48" si="20">A17</f>
        <v>6</v>
      </c>
      <c r="B48" s="8">
        <f t="shared" si="20"/>
        <v>5</v>
      </c>
      <c r="C48" s="8">
        <f t="shared" si="12"/>
        <v>30</v>
      </c>
      <c r="D48" s="8">
        <f t="shared" si="13"/>
        <v>0.83333333333333337</v>
      </c>
      <c r="E48" s="8">
        <f t="shared" si="14"/>
        <v>180</v>
      </c>
      <c r="F48" s="8">
        <f t="shared" si="16"/>
        <v>57</v>
      </c>
    </row>
    <row r="49" spans="1:6" ht="22.5" customHeight="1" x14ac:dyDescent="0.25">
      <c r="A49" s="8">
        <f t="shared" ref="A49:B49" si="21">A18</f>
        <v>7</v>
      </c>
      <c r="B49" s="8">
        <f t="shared" si="21"/>
        <v>6</v>
      </c>
      <c r="C49" s="8">
        <f t="shared" si="12"/>
        <v>42</v>
      </c>
      <c r="D49" s="8">
        <f t="shared" si="13"/>
        <v>0.8571428571428571</v>
      </c>
      <c r="E49" s="8">
        <f t="shared" si="14"/>
        <v>294</v>
      </c>
      <c r="F49" s="8">
        <f t="shared" si="16"/>
        <v>63</v>
      </c>
    </row>
    <row r="50" spans="1:6" ht="22.5" customHeight="1" x14ac:dyDescent="0.25">
      <c r="A50" s="8">
        <f t="shared" ref="A50:B50" si="22">A19</f>
        <v>8</v>
      </c>
      <c r="B50" s="8">
        <f t="shared" si="22"/>
        <v>3</v>
      </c>
      <c r="C50" s="8">
        <f t="shared" si="12"/>
        <v>24</v>
      </c>
      <c r="D50" s="8">
        <f t="shared" si="13"/>
        <v>0.375</v>
      </c>
      <c r="E50" s="8">
        <f t="shared" si="14"/>
        <v>192</v>
      </c>
      <c r="F50" s="8">
        <f t="shared" si="16"/>
        <v>66</v>
      </c>
    </row>
    <row r="51" spans="1:6" ht="22.5" customHeight="1" x14ac:dyDescent="0.25">
      <c r="A51" s="8">
        <f t="shared" ref="A51:B52" si="23">A20</f>
        <v>9</v>
      </c>
      <c r="B51" s="8">
        <f t="shared" si="23"/>
        <v>4</v>
      </c>
      <c r="C51" s="8">
        <f t="shared" si="12"/>
        <v>36</v>
      </c>
      <c r="D51" s="8">
        <f t="shared" si="13"/>
        <v>0.44444444444444442</v>
      </c>
      <c r="E51" s="8">
        <f t="shared" si="14"/>
        <v>324</v>
      </c>
      <c r="F51" s="8">
        <f t="shared" si="16"/>
        <v>70</v>
      </c>
    </row>
    <row r="52" spans="1:6" ht="22.5" customHeight="1" x14ac:dyDescent="0.25">
      <c r="A52" s="8">
        <f t="shared" si="23"/>
        <v>10</v>
      </c>
      <c r="B52" s="8">
        <f t="shared" si="23"/>
        <v>0</v>
      </c>
      <c r="C52" s="8">
        <f t="shared" si="12"/>
        <v>0</v>
      </c>
      <c r="D52" s="8">
        <f t="shared" si="13"/>
        <v>0</v>
      </c>
      <c r="E52" s="8">
        <f t="shared" si="14"/>
        <v>0</v>
      </c>
      <c r="F52" s="8">
        <f t="shared" si="16"/>
        <v>70</v>
      </c>
    </row>
    <row r="53" spans="1:6" ht="22.5" customHeight="1" x14ac:dyDescent="0.25">
      <c r="A53" s="8" t="s">
        <v>76</v>
      </c>
      <c r="B53" s="8">
        <f t="shared" ref="B53:E53" si="24">SUM(B43:B51)</f>
        <v>70</v>
      </c>
      <c r="C53" s="8">
        <f t="shared" si="24"/>
        <v>302</v>
      </c>
      <c r="D53" s="8">
        <f t="shared" si="24"/>
        <v>23.793253968253968</v>
      </c>
      <c r="E53" s="8">
        <f t="shared" si="24"/>
        <v>1644</v>
      </c>
    </row>
    <row r="55" spans="1:6" ht="22.5" customHeight="1" x14ac:dyDescent="0.25">
      <c r="A55" s="3" t="s">
        <v>117</v>
      </c>
      <c r="B55" s="4" t="s">
        <v>49</v>
      </c>
      <c r="C55" s="4" t="s">
        <v>50</v>
      </c>
    </row>
    <row r="56" spans="1:6" ht="22.5" customHeight="1" x14ac:dyDescent="0.25">
      <c r="A56" s="5" t="s">
        <v>64</v>
      </c>
      <c r="B56" s="5" t="s">
        <v>65</v>
      </c>
      <c r="C56" s="5" t="s">
        <v>66</v>
      </c>
    </row>
    <row r="57" spans="1:6" ht="22.5" customHeight="1" x14ac:dyDescent="0.25">
      <c r="A57" s="13" t="s">
        <v>119</v>
      </c>
      <c r="B57" s="5" t="s">
        <v>120</v>
      </c>
      <c r="C57" s="8">
        <f>C53/B53</f>
        <v>4.3142857142857141</v>
      </c>
    </row>
    <row r="58" spans="1:6" ht="22.5" customHeight="1" x14ac:dyDescent="0.25">
      <c r="A58" s="13" t="s">
        <v>122</v>
      </c>
      <c r="B58" s="5" t="s">
        <v>123</v>
      </c>
      <c r="C58" s="8">
        <f>B53/D53</f>
        <v>2.9420103737553998</v>
      </c>
    </row>
    <row r="59" spans="1:6" ht="22.5" customHeight="1" x14ac:dyDescent="0.25">
      <c r="A59" s="13" t="s">
        <v>129</v>
      </c>
      <c r="B59" s="5" t="s">
        <v>131</v>
      </c>
      <c r="C59" s="8">
        <f>SQRT(E53/B53)</f>
        <v>4.8462061744950846</v>
      </c>
    </row>
    <row r="60" spans="1:6" ht="22.5" customHeight="1" x14ac:dyDescent="0.25">
      <c r="A60" s="13" t="s">
        <v>133</v>
      </c>
      <c r="B60" s="5" t="s">
        <v>134</v>
      </c>
      <c r="C60" s="8">
        <f t="array" ref="C60">INDEX(A43:A51,MATCH(MAX(B43:B51),B43:B51,0))</f>
        <v>4</v>
      </c>
    </row>
    <row r="61" spans="1:6" ht="22.5" customHeight="1" x14ac:dyDescent="0.25">
      <c r="A61" s="13" t="s">
        <v>137</v>
      </c>
      <c r="B61" s="5" t="s">
        <v>138</v>
      </c>
      <c r="C61" s="8">
        <f>MEDIAN(A2:O6)</f>
        <v>4</v>
      </c>
    </row>
  </sheetData>
  <mergeCells count="2">
    <mergeCell ref="D25:F25"/>
    <mergeCell ref="D39:G39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6"/>
  <sheetViews>
    <sheetView workbookViewId="0">
      <pane ySplit="1" topLeftCell="A113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44140625" customWidth="1"/>
    <col min="2" max="2" width="22.21875" customWidth="1"/>
    <col min="3" max="10" width="13.33203125" customWidth="1"/>
  </cols>
  <sheetData>
    <row r="1" spans="1:10" ht="22.5" customHeight="1" x14ac:dyDescent="0.25">
      <c r="A1" s="3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</row>
    <row r="2" spans="1:10" ht="22.5" customHeight="1" x14ac:dyDescent="0.25">
      <c r="A2" s="5">
        <v>79</v>
      </c>
      <c r="B2" s="5">
        <v>59</v>
      </c>
      <c r="C2" s="5">
        <v>79</v>
      </c>
      <c r="D2" s="5">
        <v>129</v>
      </c>
      <c r="E2" s="5">
        <v>150</v>
      </c>
      <c r="F2" s="5">
        <v>181</v>
      </c>
      <c r="G2" s="5">
        <v>139</v>
      </c>
      <c r="H2" s="5">
        <v>199</v>
      </c>
      <c r="I2" s="5">
        <v>200</v>
      </c>
      <c r="J2" s="5">
        <v>280</v>
      </c>
    </row>
    <row r="3" spans="1:10" ht="22.5" customHeight="1" x14ac:dyDescent="0.25">
      <c r="A3" s="5">
        <v>123</v>
      </c>
      <c r="B3" s="5">
        <v>90</v>
      </c>
      <c r="C3" s="5">
        <v>166</v>
      </c>
      <c r="D3" s="5">
        <v>270</v>
      </c>
      <c r="E3" s="5">
        <v>158</v>
      </c>
      <c r="F3" s="5">
        <v>258</v>
      </c>
      <c r="G3" s="5">
        <v>100</v>
      </c>
      <c r="H3" s="5">
        <v>30</v>
      </c>
      <c r="I3" s="5">
        <v>259</v>
      </c>
      <c r="J3" s="5">
        <v>230</v>
      </c>
    </row>
    <row r="4" spans="1:10" ht="22.5" customHeight="1" x14ac:dyDescent="0.25">
      <c r="A4" s="5">
        <v>105</v>
      </c>
      <c r="B4" s="5">
        <v>320</v>
      </c>
      <c r="C4" s="5">
        <v>159</v>
      </c>
      <c r="D4" s="5">
        <v>270</v>
      </c>
      <c r="E4" s="5">
        <v>209</v>
      </c>
      <c r="F4" s="5">
        <v>90</v>
      </c>
      <c r="G4" s="5">
        <v>190</v>
      </c>
      <c r="H4" s="5">
        <v>380</v>
      </c>
      <c r="I4" s="5">
        <v>260</v>
      </c>
      <c r="J4" s="5">
        <v>290</v>
      </c>
    </row>
    <row r="5" spans="1:10" ht="22.5" customHeight="1" x14ac:dyDescent="0.25">
      <c r="A5" s="5">
        <v>180</v>
      </c>
      <c r="B5" s="5">
        <v>207</v>
      </c>
      <c r="C5" s="5">
        <v>70</v>
      </c>
      <c r="D5" s="5">
        <v>129</v>
      </c>
      <c r="E5" s="5">
        <v>380</v>
      </c>
      <c r="F5" s="5">
        <v>400</v>
      </c>
      <c r="G5" s="5">
        <v>236</v>
      </c>
      <c r="H5" s="5">
        <v>201</v>
      </c>
      <c r="I5" s="5">
        <v>350</v>
      </c>
      <c r="J5" s="5">
        <v>200</v>
      </c>
    </row>
    <row r="6" spans="1:10" ht="22.5" customHeight="1" x14ac:dyDescent="0.25">
      <c r="A6" s="5">
        <v>275</v>
      </c>
      <c r="B6" s="5">
        <v>205</v>
      </c>
      <c r="C6" s="5">
        <v>189</v>
      </c>
      <c r="D6" s="5">
        <v>321</v>
      </c>
      <c r="E6" s="5">
        <v>69</v>
      </c>
      <c r="F6" s="5">
        <v>87</v>
      </c>
      <c r="G6" s="5">
        <v>386</v>
      </c>
      <c r="H6" s="5">
        <v>202</v>
      </c>
      <c r="I6" s="5">
        <v>90</v>
      </c>
      <c r="J6" s="5">
        <v>100</v>
      </c>
    </row>
    <row r="8" spans="1:10" ht="22.5" customHeight="1" x14ac:dyDescent="0.25">
      <c r="A8" s="3" t="s">
        <v>63</v>
      </c>
      <c r="B8" s="4" t="s">
        <v>49</v>
      </c>
      <c r="C8" s="4" t="s">
        <v>50</v>
      </c>
    </row>
    <row r="9" spans="1:10" ht="22.5" customHeight="1" x14ac:dyDescent="0.25">
      <c r="A9" s="5" t="s">
        <v>64</v>
      </c>
      <c r="B9" s="5" t="s">
        <v>65</v>
      </c>
      <c r="C9" s="5" t="s">
        <v>66</v>
      </c>
    </row>
    <row r="10" spans="1:10" ht="22.5" customHeight="1" x14ac:dyDescent="0.25">
      <c r="A10" s="5" t="s">
        <v>67</v>
      </c>
      <c r="B10" s="5" t="s">
        <v>68</v>
      </c>
      <c r="C10" s="8">
        <f>COUNT(A2:J6)</f>
        <v>50</v>
      </c>
    </row>
    <row r="11" spans="1:10" ht="22.5" customHeight="1" x14ac:dyDescent="0.25">
      <c r="A11" s="5" t="s">
        <v>70</v>
      </c>
      <c r="B11" s="5" t="s">
        <v>80</v>
      </c>
      <c r="C11" s="8">
        <f>MIN(A2:J6)</f>
        <v>30</v>
      </c>
    </row>
    <row r="12" spans="1:10" ht="22.5" customHeight="1" x14ac:dyDescent="0.25">
      <c r="A12" s="5" t="s">
        <v>81</v>
      </c>
      <c r="B12" s="5" t="s">
        <v>83</v>
      </c>
      <c r="C12" s="8">
        <f>MAX(A2:J6)</f>
        <v>400</v>
      </c>
    </row>
    <row r="13" spans="1:10" ht="22.5" customHeight="1" x14ac:dyDescent="0.25">
      <c r="A13" s="5" t="s">
        <v>85</v>
      </c>
      <c r="B13" s="5" t="s">
        <v>86</v>
      </c>
      <c r="C13" s="8">
        <f>C12-C11</f>
        <v>370</v>
      </c>
    </row>
    <row r="14" spans="1:10" ht="22.5" customHeight="1" x14ac:dyDescent="0.25">
      <c r="A14" s="5" t="s">
        <v>90</v>
      </c>
      <c r="B14" s="5" t="s">
        <v>92</v>
      </c>
      <c r="C14" s="8">
        <f>1+3.322*LOG10(C10)</f>
        <v>6.6439783544042541</v>
      </c>
    </row>
    <row r="15" spans="1:10" ht="22.5" customHeight="1" x14ac:dyDescent="0.25">
      <c r="A15" s="5" t="s">
        <v>94</v>
      </c>
      <c r="B15" s="5" t="s">
        <v>97</v>
      </c>
      <c r="C15" s="8">
        <f>ROUND(C14,0)</f>
        <v>7</v>
      </c>
    </row>
    <row r="16" spans="1:10" ht="22.5" customHeight="1" x14ac:dyDescent="0.25">
      <c r="A16" s="5" t="s">
        <v>101</v>
      </c>
      <c r="B16" s="5" t="s">
        <v>103</v>
      </c>
      <c r="C16" s="8">
        <f>ROUNDUP(C13/C15,0)</f>
        <v>53</v>
      </c>
    </row>
    <row r="17" spans="1:8" ht="13.2" x14ac:dyDescent="0.25">
      <c r="D17" s="11" t="s">
        <v>105</v>
      </c>
    </row>
    <row r="18" spans="1:8" ht="22.5" customHeight="1" x14ac:dyDescent="0.25">
      <c r="A18" s="3" t="s">
        <v>106</v>
      </c>
      <c r="B18" s="4" t="s">
        <v>49</v>
      </c>
      <c r="C18" s="4" t="s">
        <v>50</v>
      </c>
      <c r="D18" s="4" t="s">
        <v>51</v>
      </c>
      <c r="E18" s="4" t="s">
        <v>52</v>
      </c>
      <c r="F18" s="4" t="s">
        <v>53</v>
      </c>
    </row>
    <row r="19" spans="1:8" ht="22.5" customHeight="1" x14ac:dyDescent="0.25">
      <c r="A19" s="5" t="s">
        <v>105</v>
      </c>
    </row>
    <row r="20" spans="1:8" ht="22.5" customHeight="1" x14ac:dyDescent="0.25">
      <c r="A20" s="5" t="s">
        <v>107</v>
      </c>
      <c r="B20" s="5" t="s">
        <v>108</v>
      </c>
      <c r="C20" s="5" t="s">
        <v>109</v>
      </c>
      <c r="D20" s="5" t="s">
        <v>75</v>
      </c>
      <c r="E20" s="5" t="s">
        <v>110</v>
      </c>
      <c r="F20" s="5" t="s">
        <v>100</v>
      </c>
    </row>
    <row r="21" spans="1:8" ht="22.5" customHeight="1" x14ac:dyDescent="0.25">
      <c r="A21" s="8">
        <f>C11</f>
        <v>30</v>
      </c>
      <c r="B21" s="8">
        <f t="shared" ref="B21:B27" si="0">A21+$C$16</f>
        <v>83</v>
      </c>
      <c r="C21" s="8" t="str">
        <f t="shared" ref="C21:C27" si="1">A21&amp;"–"&amp;B21</f>
        <v>30–83</v>
      </c>
      <c r="D21" s="8">
        <f t="shared" ref="D21:D27" si="2">COUNTIFS($A$2:$J$6,"&gt;="&amp;A21,$A$2:$J$6,"&lt;"&amp;B21)</f>
        <v>6</v>
      </c>
      <c r="E21" s="8">
        <f t="shared" ref="E21:E27" si="3">(A21+B21)/2</f>
        <v>56.5</v>
      </c>
      <c r="F21" s="8">
        <f>D21</f>
        <v>6</v>
      </c>
    </row>
    <row r="22" spans="1:8" ht="22.5" customHeight="1" x14ac:dyDescent="0.25">
      <c r="A22" s="8">
        <f t="shared" ref="A22:A27" si="4">B21</f>
        <v>83</v>
      </c>
      <c r="B22" s="8">
        <f t="shared" si="0"/>
        <v>136</v>
      </c>
      <c r="C22" s="8" t="str">
        <f t="shared" si="1"/>
        <v>83–136</v>
      </c>
      <c r="D22" s="8">
        <f t="shared" si="2"/>
        <v>10</v>
      </c>
      <c r="E22" s="8">
        <f t="shared" si="3"/>
        <v>109.5</v>
      </c>
      <c r="F22" s="8">
        <f t="shared" ref="F22:F27" si="5">F21+D22</f>
        <v>16</v>
      </c>
    </row>
    <row r="23" spans="1:8" ht="22.5" customHeight="1" x14ac:dyDescent="0.25">
      <c r="A23" s="8">
        <f t="shared" si="4"/>
        <v>136</v>
      </c>
      <c r="B23" s="8">
        <f t="shared" si="0"/>
        <v>189</v>
      </c>
      <c r="C23" s="8" t="str">
        <f t="shared" si="1"/>
        <v>136–189</v>
      </c>
      <c r="D23" s="8">
        <f t="shared" si="2"/>
        <v>7</v>
      </c>
      <c r="E23" s="8">
        <f t="shared" si="3"/>
        <v>162.5</v>
      </c>
      <c r="F23" s="8">
        <f t="shared" si="5"/>
        <v>23</v>
      </c>
    </row>
    <row r="24" spans="1:8" ht="22.5" customHeight="1" x14ac:dyDescent="0.25">
      <c r="A24" s="8">
        <f t="shared" si="4"/>
        <v>189</v>
      </c>
      <c r="B24" s="8">
        <f t="shared" si="0"/>
        <v>242</v>
      </c>
      <c r="C24" s="8" t="str">
        <f t="shared" si="1"/>
        <v>189–242</v>
      </c>
      <c r="D24" s="8">
        <f t="shared" si="2"/>
        <v>12</v>
      </c>
      <c r="E24" s="8">
        <f t="shared" si="3"/>
        <v>215.5</v>
      </c>
      <c r="F24" s="8">
        <f t="shared" si="5"/>
        <v>35</v>
      </c>
    </row>
    <row r="25" spans="1:8" ht="22.5" customHeight="1" x14ac:dyDescent="0.25">
      <c r="A25" s="8">
        <f t="shared" si="4"/>
        <v>242</v>
      </c>
      <c r="B25" s="8">
        <f t="shared" si="0"/>
        <v>295</v>
      </c>
      <c r="C25" s="8" t="str">
        <f t="shared" si="1"/>
        <v>242–295</v>
      </c>
      <c r="D25" s="8">
        <f t="shared" si="2"/>
        <v>8</v>
      </c>
      <c r="E25" s="8">
        <f t="shared" si="3"/>
        <v>268.5</v>
      </c>
      <c r="F25" s="8">
        <f t="shared" si="5"/>
        <v>43</v>
      </c>
    </row>
    <row r="26" spans="1:8" ht="22.5" customHeight="1" x14ac:dyDescent="0.25">
      <c r="A26" s="8">
        <f t="shared" si="4"/>
        <v>295</v>
      </c>
      <c r="B26" s="8">
        <f t="shared" si="0"/>
        <v>348</v>
      </c>
      <c r="C26" s="8" t="str">
        <f t="shared" si="1"/>
        <v>295–348</v>
      </c>
      <c r="D26" s="8">
        <f t="shared" si="2"/>
        <v>2</v>
      </c>
      <c r="E26" s="8">
        <f t="shared" si="3"/>
        <v>321.5</v>
      </c>
      <c r="F26" s="8">
        <f t="shared" si="5"/>
        <v>45</v>
      </c>
    </row>
    <row r="27" spans="1:8" ht="22.5" customHeight="1" x14ac:dyDescent="0.25">
      <c r="A27" s="8">
        <f t="shared" si="4"/>
        <v>348</v>
      </c>
      <c r="B27" s="8">
        <f t="shared" si="0"/>
        <v>401</v>
      </c>
      <c r="C27" s="8" t="str">
        <f t="shared" si="1"/>
        <v>348–401</v>
      </c>
      <c r="D27" s="8">
        <f t="shared" si="2"/>
        <v>5</v>
      </c>
      <c r="E27" s="8">
        <f t="shared" si="3"/>
        <v>374.5</v>
      </c>
      <c r="F27" s="8">
        <f t="shared" si="5"/>
        <v>50</v>
      </c>
    </row>
    <row r="28" spans="1:8" ht="22.5" customHeight="1" x14ac:dyDescent="0.25">
      <c r="A28" s="5" t="s">
        <v>76</v>
      </c>
      <c r="D28" s="8">
        <f>SUM(D21:D27)</f>
        <v>50</v>
      </c>
    </row>
    <row r="30" spans="1:8" ht="22.5" customHeight="1" x14ac:dyDescent="0.25">
      <c r="A30" s="3" t="s">
        <v>127</v>
      </c>
      <c r="B30" s="4" t="s">
        <v>49</v>
      </c>
      <c r="C30" s="4" t="s">
        <v>50</v>
      </c>
      <c r="D30" s="4" t="s">
        <v>51</v>
      </c>
    </row>
    <row r="31" spans="1:8" ht="22.5" customHeight="1" x14ac:dyDescent="0.25">
      <c r="A31" s="5" t="s">
        <v>132</v>
      </c>
      <c r="E31" s="17" t="s">
        <v>132</v>
      </c>
      <c r="F31" s="15"/>
      <c r="G31" s="15"/>
      <c r="H31" s="15"/>
    </row>
    <row r="32" spans="1:8" ht="22.5" customHeight="1" x14ac:dyDescent="0.25">
      <c r="A32" s="5" t="s">
        <v>109</v>
      </c>
      <c r="B32" s="5" t="s">
        <v>75</v>
      </c>
      <c r="C32" s="5" t="s">
        <v>135</v>
      </c>
      <c r="D32" s="5" t="s">
        <v>136</v>
      </c>
    </row>
    <row r="33" spans="1:4" ht="22.5" customHeight="1" x14ac:dyDescent="0.25">
      <c r="A33" s="8" t="str">
        <f t="shared" ref="A33:C33" si="6">C21</f>
        <v>30–83</v>
      </c>
      <c r="B33" s="8">
        <f t="shared" si="6"/>
        <v>6</v>
      </c>
      <c r="C33" s="8">
        <f t="shared" si="6"/>
        <v>56.5</v>
      </c>
      <c r="D33" s="8">
        <f t="shared" ref="D33:D39" si="7">B33*C33</f>
        <v>339</v>
      </c>
    </row>
    <row r="34" spans="1:4" ht="22.5" customHeight="1" x14ac:dyDescent="0.25">
      <c r="A34" s="8" t="str">
        <f t="shared" ref="A34:C34" si="8">C22</f>
        <v>83–136</v>
      </c>
      <c r="B34" s="8">
        <f t="shared" si="8"/>
        <v>10</v>
      </c>
      <c r="C34" s="8">
        <f t="shared" si="8"/>
        <v>109.5</v>
      </c>
      <c r="D34" s="8">
        <f t="shared" si="7"/>
        <v>1095</v>
      </c>
    </row>
    <row r="35" spans="1:4" ht="22.5" customHeight="1" x14ac:dyDescent="0.25">
      <c r="A35" s="8" t="str">
        <f t="shared" ref="A35:C35" si="9">C23</f>
        <v>136–189</v>
      </c>
      <c r="B35" s="8">
        <f t="shared" si="9"/>
        <v>7</v>
      </c>
      <c r="C35" s="8">
        <f t="shared" si="9"/>
        <v>162.5</v>
      </c>
      <c r="D35" s="8">
        <f t="shared" si="7"/>
        <v>1137.5</v>
      </c>
    </row>
    <row r="36" spans="1:4" ht="22.5" customHeight="1" x14ac:dyDescent="0.25">
      <c r="A36" s="8" t="str">
        <f t="shared" ref="A36:C36" si="10">C24</f>
        <v>189–242</v>
      </c>
      <c r="B36" s="8">
        <f t="shared" si="10"/>
        <v>12</v>
      </c>
      <c r="C36" s="8">
        <f t="shared" si="10"/>
        <v>215.5</v>
      </c>
      <c r="D36" s="8">
        <f t="shared" si="7"/>
        <v>2586</v>
      </c>
    </row>
    <row r="37" spans="1:4" ht="22.5" customHeight="1" x14ac:dyDescent="0.25">
      <c r="A37" s="8" t="str">
        <f t="shared" ref="A37:C37" si="11">C25</f>
        <v>242–295</v>
      </c>
      <c r="B37" s="8">
        <f t="shared" si="11"/>
        <v>8</v>
      </c>
      <c r="C37" s="8">
        <f t="shared" si="11"/>
        <v>268.5</v>
      </c>
      <c r="D37" s="8">
        <f t="shared" si="7"/>
        <v>2148</v>
      </c>
    </row>
    <row r="38" spans="1:4" ht="22.5" customHeight="1" x14ac:dyDescent="0.25">
      <c r="A38" s="8" t="str">
        <f t="shared" ref="A38:C38" si="12">C26</f>
        <v>295–348</v>
      </c>
      <c r="B38" s="8">
        <f t="shared" si="12"/>
        <v>2</v>
      </c>
      <c r="C38" s="8">
        <f t="shared" si="12"/>
        <v>321.5</v>
      </c>
      <c r="D38" s="8">
        <f t="shared" si="7"/>
        <v>643</v>
      </c>
    </row>
    <row r="39" spans="1:4" ht="22.5" customHeight="1" x14ac:dyDescent="0.25">
      <c r="A39" s="8" t="str">
        <f t="shared" ref="A39:C39" si="13">C27</f>
        <v>348–401</v>
      </c>
      <c r="B39" s="8">
        <f t="shared" si="13"/>
        <v>5</v>
      </c>
      <c r="C39" s="8">
        <f t="shared" si="13"/>
        <v>374.5</v>
      </c>
      <c r="D39" s="8">
        <f t="shared" si="7"/>
        <v>1872.5</v>
      </c>
    </row>
    <row r="40" spans="1:4" ht="22.5" customHeight="1" x14ac:dyDescent="0.25">
      <c r="A40" s="5" t="s">
        <v>76</v>
      </c>
      <c r="B40" s="8">
        <f>SUM(B33:B39)</f>
        <v>50</v>
      </c>
      <c r="D40" s="8">
        <f>SUM(D33:D39)</f>
        <v>9821</v>
      </c>
    </row>
    <row r="42" spans="1:4" ht="22.5" customHeight="1" x14ac:dyDescent="0.25">
      <c r="A42" s="3" t="s">
        <v>144</v>
      </c>
      <c r="B42" s="4" t="s">
        <v>49</v>
      </c>
      <c r="C42" s="4" t="s">
        <v>50</v>
      </c>
    </row>
    <row r="43" spans="1:4" ht="22.5" customHeight="1" x14ac:dyDescent="0.25">
      <c r="A43" s="5" t="s">
        <v>64</v>
      </c>
      <c r="B43" s="5" t="s">
        <v>65</v>
      </c>
      <c r="C43" s="5" t="s">
        <v>66</v>
      </c>
    </row>
    <row r="44" spans="1:4" ht="22.5" customHeight="1" x14ac:dyDescent="0.25">
      <c r="A44" s="5" t="s">
        <v>119</v>
      </c>
      <c r="B44" s="5" t="s">
        <v>148</v>
      </c>
      <c r="C44" s="8">
        <f>D40/B40</f>
        <v>196.42</v>
      </c>
    </row>
    <row r="45" spans="1:4" ht="22.5" customHeight="1" x14ac:dyDescent="0.25">
      <c r="A45" s="5" t="s">
        <v>149</v>
      </c>
      <c r="B45" s="5" t="s">
        <v>150</v>
      </c>
      <c r="C45" s="8">
        <f>MATCH(MAX(D21:D27),D21:D27,0)</f>
        <v>4</v>
      </c>
    </row>
    <row r="46" spans="1:4" ht="22.5" customHeight="1" x14ac:dyDescent="0.25">
      <c r="A46" s="5" t="s">
        <v>151</v>
      </c>
      <c r="B46" s="5" t="s">
        <v>152</v>
      </c>
      <c r="C46" s="8">
        <f t="array" ref="C46">INDEX(A21:A27,C45)</f>
        <v>189</v>
      </c>
    </row>
    <row r="47" spans="1:4" ht="22.5" customHeight="1" x14ac:dyDescent="0.25">
      <c r="A47" s="5" t="s">
        <v>154</v>
      </c>
      <c r="B47" s="5" t="s">
        <v>155</v>
      </c>
      <c r="C47" s="8">
        <f t="array" ref="C47">INDEX(D21:D27,C45)</f>
        <v>12</v>
      </c>
    </row>
    <row r="48" spans="1:4" ht="22.5" customHeight="1" x14ac:dyDescent="0.25">
      <c r="A48" s="5" t="s">
        <v>156</v>
      </c>
      <c r="B48" s="5" t="s">
        <v>157</v>
      </c>
      <c r="C48" s="8">
        <f t="array" ref="C48">INDEX(D21:D27,C45-1)</f>
        <v>7</v>
      </c>
    </row>
    <row r="49" spans="1:14" ht="22.5" customHeight="1" x14ac:dyDescent="0.25">
      <c r="A49" s="5" t="s">
        <v>158</v>
      </c>
      <c r="B49" s="5" t="s">
        <v>159</v>
      </c>
      <c r="C49" s="8">
        <f t="array" ref="C49">INDEX(D21:D27,C45+1)</f>
        <v>8</v>
      </c>
    </row>
    <row r="50" spans="1:14" ht="22.5" customHeight="1" x14ac:dyDescent="0.25">
      <c r="A50" s="5" t="s">
        <v>133</v>
      </c>
      <c r="B50" s="5" t="s">
        <v>160</v>
      </c>
      <c r="C50" s="8">
        <f>C46+$C$16*(C47-C48)/((C47-C48)+(C47-C49))</f>
        <v>218.44444444444446</v>
      </c>
    </row>
    <row r="51" spans="1:14" ht="13.2" x14ac:dyDescent="0.25">
      <c r="D51" s="14" t="s">
        <v>161</v>
      </c>
      <c r="E51" s="15"/>
      <c r="F51" s="15"/>
      <c r="G51" s="15"/>
      <c r="H51" s="15"/>
      <c r="I51" s="15"/>
    </row>
    <row r="52" spans="1:14" ht="22.5" customHeight="1" x14ac:dyDescent="0.25">
      <c r="A52" s="3" t="s">
        <v>162</v>
      </c>
      <c r="B52" s="4" t="s">
        <v>49</v>
      </c>
      <c r="C52" s="4" t="s">
        <v>50</v>
      </c>
      <c r="D52" s="4" t="s">
        <v>51</v>
      </c>
      <c r="E52" s="4" t="s">
        <v>52</v>
      </c>
      <c r="F52" s="4" t="s">
        <v>53</v>
      </c>
      <c r="G52" s="4" t="s">
        <v>54</v>
      </c>
    </row>
    <row r="53" spans="1:14" ht="22.5" customHeight="1" x14ac:dyDescent="0.25">
      <c r="A53" s="5" t="s">
        <v>161</v>
      </c>
    </row>
    <row r="54" spans="1:14" ht="22.5" customHeight="1" x14ac:dyDescent="0.25">
      <c r="A54" s="5" t="s">
        <v>64</v>
      </c>
      <c r="B54" s="5" t="s">
        <v>163</v>
      </c>
      <c r="C54" s="5" t="s">
        <v>164</v>
      </c>
      <c r="D54" s="5" t="s">
        <v>151</v>
      </c>
      <c r="E54" s="5" t="s">
        <v>165</v>
      </c>
      <c r="F54" s="5" t="s">
        <v>75</v>
      </c>
      <c r="G54" s="5" t="s">
        <v>66</v>
      </c>
    </row>
    <row r="55" spans="1:14" ht="22.5" customHeight="1" x14ac:dyDescent="0.25">
      <c r="A55" s="5" t="s">
        <v>166</v>
      </c>
      <c r="B55" s="8">
        <f>$B$40/4</f>
        <v>12.5</v>
      </c>
      <c r="C55" s="8">
        <f t="shared" ref="C55:C57" si="14">COUNTIF($F$21:$F$27,"&lt;"&amp;B55)+1</f>
        <v>2</v>
      </c>
      <c r="D55" s="8">
        <f t="shared" ref="D55:D57" si="15">INDEX($A$21:$A$27,C55)</f>
        <v>83</v>
      </c>
      <c r="E55" s="8">
        <f t="shared" ref="E55:E57" si="16">IF(C55=1,0,INDEX($F$21:$F$27,C55-1))</f>
        <v>6</v>
      </c>
      <c r="F55" s="8">
        <f t="shared" ref="F55:F57" si="17">INDEX($D$21:$D$27,C55)</f>
        <v>10</v>
      </c>
      <c r="G55" s="8">
        <f t="shared" ref="G55:G57" si="18">D55+$C$16*(B55-E55)/F55</f>
        <v>117.45</v>
      </c>
    </row>
    <row r="56" spans="1:14" ht="22.5" customHeight="1" x14ac:dyDescent="0.25">
      <c r="A56" s="5" t="s">
        <v>167</v>
      </c>
      <c r="B56" s="8">
        <f>$B$40/2</f>
        <v>25</v>
      </c>
      <c r="C56" s="8">
        <f t="shared" si="14"/>
        <v>4</v>
      </c>
      <c r="D56" s="8">
        <f t="shared" si="15"/>
        <v>189</v>
      </c>
      <c r="E56" s="8">
        <f t="shared" si="16"/>
        <v>23</v>
      </c>
      <c r="F56" s="8">
        <f t="shared" si="17"/>
        <v>12</v>
      </c>
      <c r="G56" s="8">
        <f t="shared" si="18"/>
        <v>197.83333333333334</v>
      </c>
    </row>
    <row r="57" spans="1:14" ht="22.5" customHeight="1" x14ac:dyDescent="0.25">
      <c r="A57" s="5" t="s">
        <v>168</v>
      </c>
      <c r="B57" s="8">
        <f>3*$B$40/4</f>
        <v>37.5</v>
      </c>
      <c r="C57" s="8">
        <f t="shared" si="14"/>
        <v>5</v>
      </c>
      <c r="D57" s="8">
        <f t="shared" si="15"/>
        <v>242</v>
      </c>
      <c r="E57" s="8">
        <f t="shared" si="16"/>
        <v>35</v>
      </c>
      <c r="F57" s="8">
        <f t="shared" si="17"/>
        <v>8</v>
      </c>
      <c r="G57" s="8">
        <f t="shared" si="18"/>
        <v>258.5625</v>
      </c>
    </row>
    <row r="59" spans="1:14" ht="22.5" customHeight="1" x14ac:dyDescent="0.25">
      <c r="A59" s="3" t="s">
        <v>169</v>
      </c>
      <c r="B59" s="4" t="s">
        <v>49</v>
      </c>
      <c r="C59" s="4" t="s">
        <v>50</v>
      </c>
      <c r="D59" s="4" t="s">
        <v>51</v>
      </c>
      <c r="E59" s="4" t="s">
        <v>52</v>
      </c>
      <c r="F59" s="4" t="s">
        <v>53</v>
      </c>
      <c r="G59" s="17" t="s">
        <v>170</v>
      </c>
      <c r="H59" s="15"/>
      <c r="I59" s="15"/>
      <c r="J59" s="15"/>
      <c r="K59" s="15"/>
      <c r="L59" s="15"/>
      <c r="M59" s="15"/>
      <c r="N59" s="15"/>
    </row>
    <row r="60" spans="1:14" ht="22.5" customHeight="1" x14ac:dyDescent="0.25">
      <c r="A60" s="5" t="s">
        <v>170</v>
      </c>
    </row>
    <row r="61" spans="1:14" ht="22.5" customHeight="1" x14ac:dyDescent="0.25">
      <c r="A61" s="5" t="s">
        <v>109</v>
      </c>
      <c r="B61" s="5" t="s">
        <v>75</v>
      </c>
      <c r="C61" s="5" t="s">
        <v>135</v>
      </c>
      <c r="D61" s="5" t="s">
        <v>171</v>
      </c>
      <c r="E61" s="5" t="s">
        <v>172</v>
      </c>
      <c r="F61" s="5" t="s">
        <v>173</v>
      </c>
    </row>
    <row r="62" spans="1:14" ht="22.5" customHeight="1" x14ac:dyDescent="0.25">
      <c r="A62" s="8" t="str">
        <f t="shared" ref="A62:C62" si="19">C21</f>
        <v>30–83</v>
      </c>
      <c r="B62" s="8">
        <f t="shared" si="19"/>
        <v>6</v>
      </c>
      <c r="C62" s="8">
        <f t="shared" si="19"/>
        <v>56.5</v>
      </c>
      <c r="D62" s="8">
        <f t="shared" ref="D62:D68" si="20">C62-$C$44</f>
        <v>-139.91999999999999</v>
      </c>
      <c r="E62" s="8">
        <f t="shared" ref="E62:E68" si="21">D62^2</f>
        <v>19577.606399999997</v>
      </c>
      <c r="F62" s="8">
        <f t="shared" ref="F62:F68" si="22">E62*B62</f>
        <v>117465.63839999998</v>
      </c>
    </row>
    <row r="63" spans="1:14" ht="22.5" customHeight="1" x14ac:dyDescent="0.25">
      <c r="A63" s="8" t="str">
        <f t="shared" ref="A63:C63" si="23">C22</f>
        <v>83–136</v>
      </c>
      <c r="B63" s="8">
        <f t="shared" si="23"/>
        <v>10</v>
      </c>
      <c r="C63" s="8">
        <f t="shared" si="23"/>
        <v>109.5</v>
      </c>
      <c r="D63" s="8">
        <f t="shared" si="20"/>
        <v>-86.919999999999987</v>
      </c>
      <c r="E63" s="8">
        <f t="shared" si="21"/>
        <v>7555.0863999999974</v>
      </c>
      <c r="F63" s="8">
        <f t="shared" si="22"/>
        <v>75550.863999999972</v>
      </c>
    </row>
    <row r="64" spans="1:14" ht="22.5" customHeight="1" x14ac:dyDescent="0.25">
      <c r="A64" s="8" t="str">
        <f t="shared" ref="A64:C64" si="24">C23</f>
        <v>136–189</v>
      </c>
      <c r="B64" s="8">
        <f t="shared" si="24"/>
        <v>7</v>
      </c>
      <c r="C64" s="8">
        <f t="shared" si="24"/>
        <v>162.5</v>
      </c>
      <c r="D64" s="8">
        <f t="shared" si="20"/>
        <v>-33.919999999999987</v>
      </c>
      <c r="E64" s="8">
        <f t="shared" si="21"/>
        <v>1150.5663999999992</v>
      </c>
      <c r="F64" s="8">
        <f t="shared" si="22"/>
        <v>8053.9647999999943</v>
      </c>
    </row>
    <row r="65" spans="1:6" ht="22.5" customHeight="1" x14ac:dyDescent="0.25">
      <c r="A65" s="8" t="str">
        <f t="shared" ref="A65:C65" si="25">C24</f>
        <v>189–242</v>
      </c>
      <c r="B65" s="8">
        <f t="shared" si="25"/>
        <v>12</v>
      </c>
      <c r="C65" s="8">
        <f t="shared" si="25"/>
        <v>215.5</v>
      </c>
      <c r="D65" s="8">
        <f t="shared" si="20"/>
        <v>19.080000000000013</v>
      </c>
      <c r="E65" s="8">
        <f t="shared" si="21"/>
        <v>364.04640000000046</v>
      </c>
      <c r="F65" s="8">
        <f t="shared" si="22"/>
        <v>4368.5568000000058</v>
      </c>
    </row>
    <row r="66" spans="1:6" ht="22.5" customHeight="1" x14ac:dyDescent="0.25">
      <c r="A66" s="8" t="str">
        <f t="shared" ref="A66:C66" si="26">C25</f>
        <v>242–295</v>
      </c>
      <c r="B66" s="8">
        <f t="shared" si="26"/>
        <v>8</v>
      </c>
      <c r="C66" s="8">
        <f t="shared" si="26"/>
        <v>268.5</v>
      </c>
      <c r="D66" s="8">
        <f t="shared" si="20"/>
        <v>72.080000000000013</v>
      </c>
      <c r="E66" s="8">
        <f t="shared" si="21"/>
        <v>5195.5264000000016</v>
      </c>
      <c r="F66" s="8">
        <f t="shared" si="22"/>
        <v>41564.211200000012</v>
      </c>
    </row>
    <row r="67" spans="1:6" ht="22.5" customHeight="1" x14ac:dyDescent="0.25">
      <c r="A67" s="8" t="str">
        <f t="shared" ref="A67:C67" si="27">C26</f>
        <v>295–348</v>
      </c>
      <c r="B67" s="8">
        <f t="shared" si="27"/>
        <v>2</v>
      </c>
      <c r="C67" s="8">
        <f t="shared" si="27"/>
        <v>321.5</v>
      </c>
      <c r="D67" s="8">
        <f t="shared" si="20"/>
        <v>125.08000000000001</v>
      </c>
      <c r="E67" s="8">
        <f t="shared" si="21"/>
        <v>15645.006400000004</v>
      </c>
      <c r="F67" s="8">
        <f t="shared" si="22"/>
        <v>31290.012800000008</v>
      </c>
    </row>
    <row r="68" spans="1:6" ht="22.5" customHeight="1" x14ac:dyDescent="0.25">
      <c r="A68" s="8" t="str">
        <f t="shared" ref="A68:C68" si="28">C27</f>
        <v>348–401</v>
      </c>
      <c r="B68" s="8">
        <f t="shared" si="28"/>
        <v>5</v>
      </c>
      <c r="C68" s="8">
        <f t="shared" si="28"/>
        <v>374.5</v>
      </c>
      <c r="D68" s="8">
        <f t="shared" si="20"/>
        <v>178.08</v>
      </c>
      <c r="E68" s="8">
        <f t="shared" si="21"/>
        <v>31712.486400000005</v>
      </c>
      <c r="F68" s="8">
        <f t="shared" si="22"/>
        <v>158562.43200000003</v>
      </c>
    </row>
    <row r="69" spans="1:6" ht="22.5" customHeight="1" x14ac:dyDescent="0.25">
      <c r="A69" s="5" t="s">
        <v>76</v>
      </c>
      <c r="B69" s="8">
        <f>SUM(B62:B68)</f>
        <v>50</v>
      </c>
      <c r="F69" s="8">
        <f>SUM(F62:F68)</f>
        <v>436855.68</v>
      </c>
    </row>
    <row r="71" spans="1:6" ht="22.5" customHeight="1" x14ac:dyDescent="0.25">
      <c r="A71" s="3" t="s">
        <v>117</v>
      </c>
      <c r="B71" s="4" t="s">
        <v>49</v>
      </c>
      <c r="C71" s="4" t="s">
        <v>50</v>
      </c>
    </row>
    <row r="72" spans="1:6" ht="22.5" customHeight="1" x14ac:dyDescent="0.25">
      <c r="A72" s="5" t="s">
        <v>64</v>
      </c>
      <c r="B72" s="5" t="s">
        <v>65</v>
      </c>
      <c r="C72" s="5" t="s">
        <v>66</v>
      </c>
    </row>
    <row r="73" spans="1:6" ht="22.5" customHeight="1" x14ac:dyDescent="0.25">
      <c r="A73" s="5" t="s">
        <v>174</v>
      </c>
      <c r="B73" s="5" t="s">
        <v>175</v>
      </c>
      <c r="C73" s="8">
        <f>F69/B69</f>
        <v>8737.1136000000006</v>
      </c>
    </row>
    <row r="74" spans="1:6" ht="22.5" customHeight="1" x14ac:dyDescent="0.25">
      <c r="A74" s="5" t="s">
        <v>176</v>
      </c>
      <c r="B74" s="5" t="s">
        <v>177</v>
      </c>
      <c r="C74" s="8">
        <f>SQRT(C73)</f>
        <v>93.472528584606081</v>
      </c>
    </row>
    <row r="75" spans="1:6" ht="22.5" customHeight="1" x14ac:dyDescent="0.25">
      <c r="A75" s="5" t="s">
        <v>178</v>
      </c>
      <c r="B75" s="5" t="s">
        <v>179</v>
      </c>
      <c r="C75" s="8">
        <f>C74/C44*100</f>
        <v>47.58809112341212</v>
      </c>
    </row>
    <row r="76" spans="1:6" ht="22.5" customHeight="1" x14ac:dyDescent="0.25">
      <c r="A76" s="5" t="s">
        <v>180</v>
      </c>
      <c r="B76" s="5" t="s">
        <v>181</v>
      </c>
      <c r="C76" s="8" t="str">
        <f>IF(C75&lt;=33,"однородная","неоднородная")</f>
        <v>неоднородная</v>
      </c>
    </row>
  </sheetData>
  <mergeCells count="3">
    <mergeCell ref="E31:H31"/>
    <mergeCell ref="D51:I51"/>
    <mergeCell ref="G59:N59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6" customWidth="1"/>
    <col min="2" max="5" width="13.33203125" customWidth="1"/>
  </cols>
  <sheetData>
    <row r="1" spans="1:16" ht="22.5" customHeight="1" x14ac:dyDescent="0.25">
      <c r="A1" s="3" t="s">
        <v>69</v>
      </c>
      <c r="B1" s="4" t="s">
        <v>49</v>
      </c>
      <c r="C1" s="4" t="s">
        <v>50</v>
      </c>
      <c r="D1" s="4" t="s">
        <v>51</v>
      </c>
      <c r="E1" s="4" t="s">
        <v>52</v>
      </c>
    </row>
    <row r="2" spans="1:16" ht="22.5" customHeight="1" x14ac:dyDescent="0.25">
      <c r="A2" s="5" t="s">
        <v>87</v>
      </c>
      <c r="B2" s="5" t="s">
        <v>88</v>
      </c>
      <c r="C2" s="5" t="s">
        <v>89</v>
      </c>
      <c r="D2" s="5" t="s">
        <v>91</v>
      </c>
      <c r="E2" s="5" t="s">
        <v>93</v>
      </c>
    </row>
    <row r="3" spans="1:16" ht="22.5" customHeight="1" x14ac:dyDescent="0.25">
      <c r="A3" s="5" t="s">
        <v>95</v>
      </c>
      <c r="B3" s="5">
        <v>20</v>
      </c>
      <c r="C3" s="5">
        <v>18</v>
      </c>
      <c r="D3" s="5">
        <v>28.7</v>
      </c>
      <c r="E3" s="5">
        <v>28</v>
      </c>
    </row>
    <row r="4" spans="1:16" ht="22.5" customHeight="1" x14ac:dyDescent="0.25">
      <c r="A4" s="5" t="s">
        <v>102</v>
      </c>
      <c r="B4" s="5">
        <v>40</v>
      </c>
      <c r="C4" s="5">
        <v>42</v>
      </c>
      <c r="D4" s="5">
        <v>48</v>
      </c>
      <c r="E4" s="5">
        <v>49</v>
      </c>
    </row>
    <row r="5" spans="1:16" ht="22.5" customHeight="1" x14ac:dyDescent="0.25">
      <c r="A5" s="5" t="s">
        <v>104</v>
      </c>
      <c r="B5" s="5">
        <v>50</v>
      </c>
      <c r="C5" s="5">
        <v>55.4</v>
      </c>
      <c r="D5" s="5">
        <v>56</v>
      </c>
      <c r="E5" s="5">
        <v>57.9</v>
      </c>
    </row>
    <row r="6" spans="1:16" ht="22.5" customHeight="1" x14ac:dyDescent="0.25">
      <c r="A6" s="5" t="s">
        <v>76</v>
      </c>
      <c r="B6" s="8">
        <f t="shared" ref="B6:E6" si="0">SUM(B3:B5)</f>
        <v>110</v>
      </c>
      <c r="C6" s="8">
        <f t="shared" si="0"/>
        <v>115.4</v>
      </c>
      <c r="D6" s="8">
        <f t="shared" si="0"/>
        <v>132.69999999999999</v>
      </c>
      <c r="E6" s="8">
        <f t="shared" si="0"/>
        <v>134.9</v>
      </c>
    </row>
    <row r="8" spans="1:16" ht="22.5" customHeight="1" x14ac:dyDescent="0.25">
      <c r="A8" s="3" t="s">
        <v>111</v>
      </c>
      <c r="B8" s="4" t="s">
        <v>49</v>
      </c>
      <c r="C8" s="4" t="s">
        <v>50</v>
      </c>
      <c r="D8" s="4" t="s">
        <v>51</v>
      </c>
      <c r="E8" s="4" t="s">
        <v>52</v>
      </c>
    </row>
    <row r="9" spans="1:16" ht="22.5" customHeight="1" x14ac:dyDescent="0.25">
      <c r="A9" s="5" t="s">
        <v>112</v>
      </c>
      <c r="F9" s="14" t="s">
        <v>112</v>
      </c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ht="22.5" customHeight="1" x14ac:dyDescent="0.25">
      <c r="A10" s="5" t="s">
        <v>87</v>
      </c>
      <c r="B10" s="5" t="s">
        <v>113</v>
      </c>
      <c r="C10" s="5" t="s">
        <v>114</v>
      </c>
      <c r="D10" s="5" t="s">
        <v>115</v>
      </c>
      <c r="E10" s="5" t="s">
        <v>116</v>
      </c>
    </row>
    <row r="11" spans="1:16" ht="22.5" customHeight="1" x14ac:dyDescent="0.25">
      <c r="A11" s="8" t="str">
        <f t="shared" ref="A11:A14" si="1">A3</f>
        <v>Овощи</v>
      </c>
      <c r="B11" s="8">
        <f t="shared" ref="B11:B14" si="2">C3-B3</f>
        <v>-2</v>
      </c>
      <c r="C11" s="8">
        <f t="shared" ref="C11:C14" si="3">E3-D3</f>
        <v>-0.69999999999999929</v>
      </c>
      <c r="D11" s="8">
        <f t="shared" ref="D11:D14" si="4">E3-C3</f>
        <v>10</v>
      </c>
      <c r="E11" s="8">
        <f t="shared" ref="E11:E14" si="5">D3-C3</f>
        <v>10.7</v>
      </c>
    </row>
    <row r="12" spans="1:16" ht="22.5" customHeight="1" x14ac:dyDescent="0.25">
      <c r="A12" s="8" t="str">
        <f t="shared" si="1"/>
        <v>Фрукты</v>
      </c>
      <c r="B12" s="8">
        <f t="shared" si="2"/>
        <v>2</v>
      </c>
      <c r="C12" s="8">
        <f t="shared" si="3"/>
        <v>1</v>
      </c>
      <c r="D12" s="8">
        <f t="shared" si="4"/>
        <v>7</v>
      </c>
      <c r="E12" s="8">
        <f t="shared" si="5"/>
        <v>6</v>
      </c>
    </row>
    <row r="13" spans="1:16" ht="22.5" customHeight="1" x14ac:dyDescent="0.25">
      <c r="A13" s="8" t="str">
        <f t="shared" si="1"/>
        <v>Виноград</v>
      </c>
      <c r="B13" s="8">
        <f t="shared" si="2"/>
        <v>5.3999999999999986</v>
      </c>
      <c r="C13" s="8">
        <f t="shared" si="3"/>
        <v>1.8999999999999986</v>
      </c>
      <c r="D13" s="8">
        <f t="shared" si="4"/>
        <v>2.5</v>
      </c>
      <c r="E13" s="8">
        <f t="shared" si="5"/>
        <v>0.60000000000000142</v>
      </c>
    </row>
    <row r="14" spans="1:16" ht="22.5" customHeight="1" x14ac:dyDescent="0.25">
      <c r="A14" s="8" t="str">
        <f t="shared" si="1"/>
        <v>Итого</v>
      </c>
      <c r="B14" s="8">
        <f t="shared" si="2"/>
        <v>5.4000000000000057</v>
      </c>
      <c r="C14" s="8">
        <f t="shared" si="3"/>
        <v>2.2000000000000171</v>
      </c>
      <c r="D14" s="8">
        <f t="shared" si="4"/>
        <v>19.5</v>
      </c>
      <c r="E14" s="8">
        <f t="shared" si="5"/>
        <v>17.299999999999983</v>
      </c>
    </row>
    <row r="15" spans="1:16" ht="13.2" x14ac:dyDescent="0.25">
      <c r="G15" s="12" t="s">
        <v>118</v>
      </c>
    </row>
    <row r="16" spans="1:16" ht="22.5" customHeight="1" x14ac:dyDescent="0.25">
      <c r="A16" s="3" t="s">
        <v>40</v>
      </c>
      <c r="B16" s="4" t="s">
        <v>49</v>
      </c>
      <c r="C16" s="4" t="s">
        <v>50</v>
      </c>
      <c r="D16" s="4" t="s">
        <v>51</v>
      </c>
      <c r="E16" s="4" t="s">
        <v>52</v>
      </c>
      <c r="F16" s="4" t="s">
        <v>53</v>
      </c>
    </row>
    <row r="17" spans="1:15" ht="22.5" customHeight="1" x14ac:dyDescent="0.25">
      <c r="A17" s="5" t="s">
        <v>121</v>
      </c>
      <c r="G17" s="17" t="s">
        <v>121</v>
      </c>
      <c r="H17" s="15"/>
      <c r="I17" s="15"/>
      <c r="J17" s="15"/>
      <c r="K17" s="15"/>
      <c r="L17" s="15"/>
      <c r="M17" s="15"/>
      <c r="N17" s="15"/>
      <c r="O17" s="15"/>
    </row>
    <row r="18" spans="1:15" ht="22.5" customHeight="1" x14ac:dyDescent="0.25">
      <c r="A18" s="5" t="s">
        <v>118</v>
      </c>
    </row>
    <row r="19" spans="1:15" ht="22.5" customHeight="1" x14ac:dyDescent="0.25">
      <c r="A19" s="5" t="s">
        <v>87</v>
      </c>
      <c r="B19" s="5" t="s">
        <v>124</v>
      </c>
      <c r="C19" s="5" t="s">
        <v>125</v>
      </c>
      <c r="D19" s="5" t="s">
        <v>126</v>
      </c>
      <c r="E19" s="5" t="s">
        <v>128</v>
      </c>
      <c r="F19" s="5" t="s">
        <v>130</v>
      </c>
    </row>
    <row r="20" spans="1:15" ht="22.5" customHeight="1" x14ac:dyDescent="0.25">
      <c r="A20" s="8" t="str">
        <f t="shared" ref="A20:A23" si="6">A3</f>
        <v>Овощи</v>
      </c>
      <c r="B20" s="8">
        <f t="shared" ref="B20:B23" si="7">C3/B3*100</f>
        <v>90</v>
      </c>
      <c r="C20" s="8">
        <f t="shared" ref="C20:C23" si="8">E3/D3*100</f>
        <v>97.560975609756099</v>
      </c>
      <c r="D20" s="8">
        <f t="shared" ref="D20:D23" si="9">D3/C3*100</f>
        <v>159.44444444444443</v>
      </c>
      <c r="E20" s="8">
        <f t="shared" ref="E20:E23" si="10">E3/C3*100</f>
        <v>155.55555555555557</v>
      </c>
      <c r="F20" s="8">
        <f t="shared" ref="F20:F23" si="11">D20*C20/100</f>
        <v>155.55555555555554</v>
      </c>
    </row>
    <row r="21" spans="1:15" ht="22.5" customHeight="1" x14ac:dyDescent="0.25">
      <c r="A21" s="8" t="str">
        <f t="shared" si="6"/>
        <v>Фрукты</v>
      </c>
      <c r="B21" s="8">
        <f t="shared" si="7"/>
        <v>105</v>
      </c>
      <c r="C21" s="8">
        <f t="shared" si="8"/>
        <v>102.08333333333333</v>
      </c>
      <c r="D21" s="8">
        <f t="shared" si="9"/>
        <v>114.28571428571428</v>
      </c>
      <c r="E21" s="8">
        <f t="shared" si="10"/>
        <v>116.66666666666667</v>
      </c>
      <c r="F21" s="8">
        <f t="shared" si="11"/>
        <v>116.66666666666666</v>
      </c>
    </row>
    <row r="22" spans="1:15" ht="22.5" customHeight="1" x14ac:dyDescent="0.25">
      <c r="A22" s="8" t="str">
        <f t="shared" si="6"/>
        <v>Виноград</v>
      </c>
      <c r="B22" s="8">
        <f t="shared" si="7"/>
        <v>110.79999999999998</v>
      </c>
      <c r="C22" s="8">
        <f t="shared" si="8"/>
        <v>103.39285714285712</v>
      </c>
      <c r="D22" s="8">
        <f t="shared" si="9"/>
        <v>101.08303249097472</v>
      </c>
      <c r="E22" s="8">
        <f t="shared" si="10"/>
        <v>104.51263537906136</v>
      </c>
      <c r="F22" s="8">
        <f t="shared" si="11"/>
        <v>104.51263537906134</v>
      </c>
    </row>
    <row r="23" spans="1:15" ht="22.5" customHeight="1" x14ac:dyDescent="0.25">
      <c r="A23" s="8" t="str">
        <f t="shared" si="6"/>
        <v>Итого</v>
      </c>
      <c r="B23" s="8">
        <f t="shared" si="7"/>
        <v>104.90909090909091</v>
      </c>
      <c r="C23" s="8">
        <f t="shared" si="8"/>
        <v>101.65787490580259</v>
      </c>
      <c r="D23" s="8">
        <f t="shared" si="9"/>
        <v>114.99133448873482</v>
      </c>
      <c r="E23" s="8">
        <f t="shared" si="10"/>
        <v>116.89774696707104</v>
      </c>
      <c r="F23" s="8">
        <f t="shared" si="11"/>
        <v>116.89774696707107</v>
      </c>
    </row>
    <row r="25" spans="1:15" ht="22.5" customHeight="1" x14ac:dyDescent="0.25">
      <c r="A25" s="3" t="s">
        <v>139</v>
      </c>
      <c r="B25" s="4" t="s">
        <v>49</v>
      </c>
      <c r="C25" s="4" t="s">
        <v>50</v>
      </c>
    </row>
    <row r="26" spans="1:15" ht="22.5" customHeight="1" x14ac:dyDescent="0.25">
      <c r="A26" s="5" t="s">
        <v>140</v>
      </c>
      <c r="D26" s="17" t="s">
        <v>140</v>
      </c>
      <c r="E26" s="15"/>
      <c r="F26" s="15"/>
      <c r="G26" s="15"/>
      <c r="H26" s="15"/>
      <c r="I26" s="15"/>
    </row>
    <row r="27" spans="1:15" ht="22.5" customHeight="1" x14ac:dyDescent="0.25">
      <c r="A27" s="5" t="s">
        <v>87</v>
      </c>
      <c r="B27" s="5" t="s">
        <v>141</v>
      </c>
      <c r="C27" s="5" t="s">
        <v>142</v>
      </c>
    </row>
    <row r="28" spans="1:15" ht="22.5" customHeight="1" x14ac:dyDescent="0.25">
      <c r="A28" s="8" t="str">
        <f t="shared" ref="A28:A31" si="12">A3</f>
        <v>Овощи</v>
      </c>
      <c r="B28" s="8">
        <f t="shared" ref="B28:B31" si="13">C3/$C$6*100</f>
        <v>15.597920277296359</v>
      </c>
      <c r="C28" s="8">
        <f t="shared" ref="C28:C31" si="14">E3/$E$6*100</f>
        <v>20.756115641215715</v>
      </c>
    </row>
    <row r="29" spans="1:15" ht="22.5" customHeight="1" x14ac:dyDescent="0.25">
      <c r="A29" s="8" t="str">
        <f t="shared" si="12"/>
        <v>Фрукты</v>
      </c>
      <c r="B29" s="8">
        <f t="shared" si="13"/>
        <v>36.395147313691503</v>
      </c>
      <c r="C29" s="8">
        <f t="shared" si="14"/>
        <v>36.323202372127497</v>
      </c>
    </row>
    <row r="30" spans="1:15" ht="22.5" customHeight="1" x14ac:dyDescent="0.25">
      <c r="A30" s="8" t="str">
        <f t="shared" si="12"/>
        <v>Виноград</v>
      </c>
      <c r="B30" s="8">
        <f t="shared" si="13"/>
        <v>48.006932409012123</v>
      </c>
      <c r="C30" s="8">
        <f t="shared" si="14"/>
        <v>42.920681986656781</v>
      </c>
    </row>
    <row r="31" spans="1:15" ht="22.5" customHeight="1" x14ac:dyDescent="0.25">
      <c r="A31" s="8" t="str">
        <f t="shared" si="12"/>
        <v>Итого</v>
      </c>
      <c r="B31" s="8">
        <f t="shared" si="13"/>
        <v>100</v>
      </c>
      <c r="C31" s="8">
        <f t="shared" si="14"/>
        <v>100</v>
      </c>
    </row>
    <row r="33" spans="1:10" ht="22.5" customHeight="1" x14ac:dyDescent="0.25">
      <c r="A33" s="3" t="s">
        <v>143</v>
      </c>
      <c r="B33" s="4" t="s">
        <v>49</v>
      </c>
      <c r="C33" s="4" t="s">
        <v>50</v>
      </c>
    </row>
    <row r="34" spans="1:10" ht="22.5" customHeight="1" x14ac:dyDescent="0.25">
      <c r="A34" s="5" t="s">
        <v>145</v>
      </c>
      <c r="D34" s="17" t="s">
        <v>145</v>
      </c>
      <c r="E34" s="15"/>
      <c r="F34" s="15"/>
      <c r="G34" s="15"/>
      <c r="H34" s="15"/>
      <c r="I34" s="15"/>
      <c r="J34" s="15"/>
    </row>
    <row r="35" spans="1:10" ht="22.5" customHeight="1" x14ac:dyDescent="0.25">
      <c r="A35" s="5" t="s">
        <v>87</v>
      </c>
      <c r="B35" s="5" t="s">
        <v>146</v>
      </c>
      <c r="C35" s="5" t="s">
        <v>147</v>
      </c>
    </row>
    <row r="36" spans="1:10" ht="22.5" customHeight="1" x14ac:dyDescent="0.25">
      <c r="A36" s="8" t="str">
        <f t="shared" ref="A36:A37" si="15">A4</f>
        <v>Фрукты</v>
      </c>
      <c r="B36" s="8">
        <f t="shared" ref="B36:B37" si="16">C4/$C$3</f>
        <v>2.3333333333333335</v>
      </c>
      <c r="C36" s="8">
        <f t="shared" ref="C36:C37" si="17">E4/$E$3</f>
        <v>1.75</v>
      </c>
    </row>
    <row r="37" spans="1:10" ht="22.5" customHeight="1" x14ac:dyDescent="0.25">
      <c r="A37" s="8" t="str">
        <f t="shared" si="15"/>
        <v>Виноград</v>
      </c>
      <c r="B37" s="8">
        <f t="shared" si="16"/>
        <v>3.0777777777777775</v>
      </c>
      <c r="C37" s="8">
        <f t="shared" si="17"/>
        <v>2.0678571428571426</v>
      </c>
    </row>
    <row r="39" spans="1:10" ht="13.2" x14ac:dyDescent="0.25">
      <c r="A39" s="12" t="s">
        <v>153</v>
      </c>
    </row>
  </sheetData>
  <mergeCells count="4">
    <mergeCell ref="F9:P9"/>
    <mergeCell ref="G17:O17"/>
    <mergeCell ref="D26:I26"/>
    <mergeCell ref="D34:J34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64"/>
  <sheetViews>
    <sheetView workbookViewId="0"/>
  </sheetViews>
  <sheetFormatPr defaultColWidth="12.6640625" defaultRowHeight="15.75" customHeight="1" x14ac:dyDescent="0.25"/>
  <sheetData>
    <row r="1" spans="1:1" ht="15.75" customHeight="1" x14ac:dyDescent="0.3">
      <c r="A1" s="1" t="s">
        <v>0</v>
      </c>
    </row>
    <row r="2" spans="1:1" ht="15.75" customHeight="1" x14ac:dyDescent="0.3">
      <c r="A2" s="2"/>
    </row>
    <row r="3" spans="1:1" ht="15.75" customHeight="1" x14ac:dyDescent="0.3">
      <c r="A3" s="1" t="s">
        <v>1</v>
      </c>
    </row>
    <row r="4" spans="1:1" ht="15.75" customHeight="1" x14ac:dyDescent="0.3">
      <c r="A4" s="2"/>
    </row>
    <row r="5" spans="1:1" ht="15.75" customHeight="1" x14ac:dyDescent="0.3">
      <c r="A5" s="1" t="s">
        <v>2</v>
      </c>
    </row>
    <row r="6" spans="1:1" ht="15.75" customHeight="1" x14ac:dyDescent="0.3">
      <c r="A6" s="1" t="s">
        <v>3</v>
      </c>
    </row>
    <row r="7" spans="1:1" ht="15.75" customHeight="1" x14ac:dyDescent="0.3">
      <c r="A7" s="2"/>
    </row>
    <row r="8" spans="1:1" ht="15.75" customHeight="1" x14ac:dyDescent="0.3">
      <c r="A8" s="1" t="s">
        <v>4</v>
      </c>
    </row>
    <row r="9" spans="1:1" ht="15.75" customHeight="1" x14ac:dyDescent="0.3">
      <c r="A9" s="2"/>
    </row>
    <row r="10" spans="1:1" ht="15.75" customHeight="1" x14ac:dyDescent="0.3">
      <c r="A10" s="1" t="s">
        <v>5</v>
      </c>
    </row>
    <row r="11" spans="1:1" ht="15.75" customHeight="1" x14ac:dyDescent="0.3">
      <c r="A11" s="2"/>
    </row>
    <row r="12" spans="1:1" ht="15.75" customHeight="1" x14ac:dyDescent="0.3">
      <c r="A12" s="1" t="s">
        <v>6</v>
      </c>
    </row>
    <row r="13" spans="1:1" ht="15.75" customHeight="1" x14ac:dyDescent="0.3">
      <c r="A13" s="2"/>
    </row>
    <row r="14" spans="1:1" ht="15.75" customHeight="1" x14ac:dyDescent="0.3">
      <c r="A14" s="1" t="s">
        <v>7</v>
      </c>
    </row>
    <row r="15" spans="1:1" ht="15.75" customHeight="1" x14ac:dyDescent="0.3">
      <c r="A15" s="1" t="s">
        <v>8</v>
      </c>
    </row>
    <row r="16" spans="1:1" ht="17.399999999999999" x14ac:dyDescent="0.3">
      <c r="A16" s="1" t="s">
        <v>9</v>
      </c>
    </row>
    <row r="17" spans="1:1" ht="17.399999999999999" x14ac:dyDescent="0.3">
      <c r="A17" s="1" t="s">
        <v>10</v>
      </c>
    </row>
    <row r="18" spans="1:1" ht="17.399999999999999" x14ac:dyDescent="0.3">
      <c r="A18" s="1" t="s">
        <v>11</v>
      </c>
    </row>
    <row r="19" spans="1:1" ht="17.399999999999999" x14ac:dyDescent="0.3">
      <c r="A19" s="1" t="s">
        <v>12</v>
      </c>
    </row>
    <row r="20" spans="1:1" ht="17.399999999999999" x14ac:dyDescent="0.3">
      <c r="A20" s="1" t="s">
        <v>13</v>
      </c>
    </row>
    <row r="21" spans="1:1" ht="17.399999999999999" x14ac:dyDescent="0.3">
      <c r="A21" s="1" t="s">
        <v>14</v>
      </c>
    </row>
    <row r="22" spans="1:1" ht="17.399999999999999" x14ac:dyDescent="0.3">
      <c r="A22" s="1" t="s">
        <v>15</v>
      </c>
    </row>
    <row r="23" spans="1:1" ht="17.399999999999999" x14ac:dyDescent="0.3">
      <c r="A23" s="2"/>
    </row>
    <row r="24" spans="1:1" ht="17.399999999999999" x14ac:dyDescent="0.3">
      <c r="A24" s="1" t="s">
        <v>16</v>
      </c>
    </row>
    <row r="25" spans="1:1" ht="17.399999999999999" x14ac:dyDescent="0.3">
      <c r="A25" s="2"/>
    </row>
    <row r="26" spans="1:1" ht="17.399999999999999" x14ac:dyDescent="0.3">
      <c r="A26" s="1" t="s">
        <v>17</v>
      </c>
    </row>
    <row r="27" spans="1:1" ht="17.399999999999999" x14ac:dyDescent="0.3">
      <c r="A27" s="1" t="s">
        <v>18</v>
      </c>
    </row>
    <row r="28" spans="1:1" ht="17.399999999999999" x14ac:dyDescent="0.3">
      <c r="A28" s="1" t="s">
        <v>19</v>
      </c>
    </row>
    <row r="29" spans="1:1" ht="17.399999999999999" x14ac:dyDescent="0.3">
      <c r="A29" s="1" t="s">
        <v>20</v>
      </c>
    </row>
    <row r="30" spans="1:1" ht="17.399999999999999" x14ac:dyDescent="0.3">
      <c r="A30" s="1" t="s">
        <v>21</v>
      </c>
    </row>
    <row r="31" spans="1:1" ht="17.399999999999999" x14ac:dyDescent="0.3">
      <c r="A31" s="1" t="s">
        <v>22</v>
      </c>
    </row>
    <row r="32" spans="1:1" ht="17.399999999999999" x14ac:dyDescent="0.3">
      <c r="A32" s="2"/>
    </row>
    <row r="33" spans="1:1" ht="17.399999999999999" x14ac:dyDescent="0.3">
      <c r="A33" s="1" t="s">
        <v>23</v>
      </c>
    </row>
    <row r="34" spans="1:1" ht="17.399999999999999" x14ac:dyDescent="0.3">
      <c r="A34" s="2"/>
    </row>
    <row r="35" spans="1:1" ht="17.399999999999999" x14ac:dyDescent="0.3">
      <c r="A35" s="1" t="s">
        <v>24</v>
      </c>
    </row>
    <row r="36" spans="1:1" ht="17.399999999999999" x14ac:dyDescent="0.3">
      <c r="A36" s="1" t="s">
        <v>25</v>
      </c>
    </row>
    <row r="37" spans="1:1" ht="17.399999999999999" x14ac:dyDescent="0.3">
      <c r="A37" s="1" t="s">
        <v>26</v>
      </c>
    </row>
    <row r="38" spans="1:1" ht="17.399999999999999" x14ac:dyDescent="0.3">
      <c r="A38" s="1" t="s">
        <v>27</v>
      </c>
    </row>
    <row r="39" spans="1:1" ht="17.399999999999999" x14ac:dyDescent="0.3">
      <c r="A39" s="1" t="s">
        <v>28</v>
      </c>
    </row>
    <row r="40" spans="1:1" ht="17.399999999999999" x14ac:dyDescent="0.3">
      <c r="A40" s="2"/>
    </row>
    <row r="41" spans="1:1" ht="17.399999999999999" x14ac:dyDescent="0.3">
      <c r="A41" s="1" t="s">
        <v>29</v>
      </c>
    </row>
    <row r="42" spans="1:1" ht="17.399999999999999" x14ac:dyDescent="0.3">
      <c r="A42" s="2"/>
    </row>
    <row r="43" spans="1:1" ht="17.399999999999999" x14ac:dyDescent="0.3">
      <c r="A43" s="1" t="s">
        <v>30</v>
      </c>
    </row>
    <row r="44" spans="1:1" ht="17.399999999999999" x14ac:dyDescent="0.3">
      <c r="A44" s="2"/>
    </row>
    <row r="45" spans="1:1" ht="17.399999999999999" x14ac:dyDescent="0.3">
      <c r="A45" s="1" t="s">
        <v>31</v>
      </c>
    </row>
    <row r="46" spans="1:1" ht="17.399999999999999" x14ac:dyDescent="0.3">
      <c r="A46" s="1" t="s">
        <v>32</v>
      </c>
    </row>
    <row r="47" spans="1:1" ht="17.399999999999999" x14ac:dyDescent="0.3">
      <c r="A47" s="1" t="s">
        <v>33</v>
      </c>
    </row>
    <row r="48" spans="1:1" ht="17.399999999999999" x14ac:dyDescent="0.3">
      <c r="A48" s="1" t="s">
        <v>34</v>
      </c>
    </row>
    <row r="49" spans="1:1" ht="17.399999999999999" x14ac:dyDescent="0.3">
      <c r="A49" s="1" t="s">
        <v>35</v>
      </c>
    </row>
    <row r="50" spans="1:1" ht="17.399999999999999" x14ac:dyDescent="0.3">
      <c r="A50" s="2"/>
    </row>
    <row r="51" spans="1:1" ht="17.399999999999999" x14ac:dyDescent="0.3">
      <c r="A51" s="1" t="s">
        <v>36</v>
      </c>
    </row>
    <row r="52" spans="1:1" ht="17.399999999999999" x14ac:dyDescent="0.3">
      <c r="A52" s="2"/>
    </row>
    <row r="53" spans="1:1" ht="17.399999999999999" x14ac:dyDescent="0.3">
      <c r="A53" s="1" t="s">
        <v>37</v>
      </c>
    </row>
    <row r="54" spans="1:1" ht="17.399999999999999" x14ac:dyDescent="0.3">
      <c r="A54" s="1" t="s">
        <v>38</v>
      </c>
    </row>
    <row r="55" spans="1:1" ht="17.399999999999999" x14ac:dyDescent="0.3">
      <c r="A55" s="1" t="s">
        <v>39</v>
      </c>
    </row>
    <row r="56" spans="1:1" ht="17.399999999999999" x14ac:dyDescent="0.3">
      <c r="A56" s="2"/>
    </row>
    <row r="57" spans="1:1" ht="17.399999999999999" x14ac:dyDescent="0.3">
      <c r="A57" s="1" t="s">
        <v>40</v>
      </c>
    </row>
    <row r="58" spans="1:1" ht="17.399999999999999" x14ac:dyDescent="0.3">
      <c r="A58" s="2"/>
    </row>
    <row r="59" spans="1:1" ht="17.399999999999999" x14ac:dyDescent="0.3">
      <c r="A59" s="1" t="s">
        <v>41</v>
      </c>
    </row>
    <row r="60" spans="1:1" ht="17.399999999999999" x14ac:dyDescent="0.3">
      <c r="A60" s="1" t="s">
        <v>42</v>
      </c>
    </row>
    <row r="61" spans="1:1" ht="17.399999999999999" x14ac:dyDescent="0.3">
      <c r="A61" s="1" t="s">
        <v>43</v>
      </c>
    </row>
    <row r="62" spans="1:1" ht="17.399999999999999" x14ac:dyDescent="0.3">
      <c r="A62" s="1" t="s">
        <v>44</v>
      </c>
    </row>
    <row r="63" spans="1:1" ht="17.399999999999999" x14ac:dyDescent="0.3">
      <c r="A63" s="1" t="s">
        <v>45</v>
      </c>
    </row>
    <row r="64" spans="1:1" ht="17.399999999999999" x14ac:dyDescent="0.3">
      <c r="A64" s="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комп</cp:lastModifiedBy>
  <dcterms:modified xsi:type="dcterms:W3CDTF">2026-10-23T11:58:48Z</dcterms:modified>
</cp:coreProperties>
</file>